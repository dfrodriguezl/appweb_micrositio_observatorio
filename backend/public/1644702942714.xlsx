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1"/>
  </bookViews>
  <sheets>
    <sheet name="PH" sheetId="1" r:id="rId1"/>
    <sheet name="NPH" sheetId="2" r:id="rId2"/>
    <sheet name="RURAL" sheetId="3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" i="2" l="1"/>
  <c r="O14" i="1"/>
  <c r="O13" i="1"/>
  <c r="O12" i="1"/>
  <c r="O11" i="1"/>
  <c r="O10" i="1"/>
  <c r="N11" i="2"/>
  <c r="O8" i="3" l="1"/>
  <c r="O7" i="3"/>
  <c r="N10" i="2"/>
  <c r="O9" i="1"/>
  <c r="O8" i="1"/>
  <c r="N9" i="2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<sst xmlns="http://schemas.openxmlformats.org/spreadsheetml/2006/main" count="473" uniqueCount="103">
  <si>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</si>
  <si>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</si>
  <si>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</si>
  <si>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</si>
  <si>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</si>
  <si>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</si>
  <si>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</si>
  <si>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</si>
  <si>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</si>
  <si>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</si>
  <si>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</si>
  <si>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</si>
  <si>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</si>
  <si>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</si>
  <si>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</si>
  <si>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</si>
  <si>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</si>
  <si>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</si>
  <si>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</si>
  <si>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</si>
  <si>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</si>
  <si>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</si>
  <si>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</si>
  <si>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</si>
  <si>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</si>
  <si>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</si>
  <si>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</si>
  <si>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</si>
  <si>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</si>
  <si>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</si>
  <si>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</si>
  <si>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</si>
  <si>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</si>
  <si>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</si>
  <si>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</si>
  <si>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</si>
  <si>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</si>
  <si>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</si>
  <si>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</si>
  <si>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</si>
  <si>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</si>
  <si>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</si>
  <si>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</si>
  <si>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</si>
  <si>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</si>
  <si>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</si>
  <si>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</si>
  <si>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</si>
  <si>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</si>
  <si>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</si>
  <si>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</si>
  <si>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</si>
  <si>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</si>
  <si>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</si>
  <si>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</si>
  <si>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</si>
  <si>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</si>
  <si>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</si>
  <si>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</si>
  <si>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</si>
  <si>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</si>
  <si>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</si>
  <si>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</si>
  <si>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</si>
  <si>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</si>
  <si>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</si>
  <si>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</si>
  <si>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</si>
  <si>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</si>
  <si>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</si>
  <si>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</si>
  <si>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</si>
  <si>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</si>
  <si>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</si>
  <si>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</si>
  <si>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</si>
  <si>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</si>
  <si>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</si>
  <si>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</si>
  <si>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</si>
  <si>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</si>
  <si>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</si>
  <si>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</si>
  <si>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</si>
  <si>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</si>
  <si>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</si>
  <si>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</si>
  <si>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</si>
  <si>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</si>
  <si>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</si>
  <si>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</si>
  <si>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</si>
  <si>
    <t>34</t>
  </si>
  <si>
    <t>35</t>
  </si>
  <si>
    <t>72</t>
  </si>
  <si>
    <t>29</t>
  </si>
  <si>
    <t>73</t>
  </si>
  <si>
    <t>36</t>
  </si>
  <si>
    <t>37</t>
  </si>
  <si>
    <t>38</t>
  </si>
  <si>
    <t>39</t>
  </si>
  <si>
    <t>40</t>
  </si>
  <si>
    <t>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</si>
</sst>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opLeftCell="A14" workbookViewId="0">
      <selection activeCell="A14" sqref="A14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 t="shared" ref="O3:O14" si="0"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 t="shared" si="0"/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 t="shared" si="0"/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 t="shared" si="0"/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 t="shared" si="0"/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 ht="324">
      <c r="A8" s="8" t="s">
        <v>92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46</v>
      </c>
      <c r="L8" s="11">
        <v>0</v>
      </c>
      <c r="M8" s="11">
        <v>120000</v>
      </c>
      <c r="N8" s="11">
        <v>40000000</v>
      </c>
      <c r="O8" s="11">
        <f t="shared" si="0"/>
        <v>5.5000000000000049E-2</v>
      </c>
      <c r="P8" s="11">
        <v>37800000</v>
      </c>
      <c r="Q8" s="11">
        <v>1987</v>
      </c>
      <c r="R8" s="11">
        <v>12</v>
      </c>
      <c r="S8" s="11">
        <v>3</v>
      </c>
      <c r="T8" s="11">
        <v>0</v>
      </c>
      <c r="U8" s="11">
        <v>85</v>
      </c>
      <c r="V8" s="11">
        <v>1</v>
      </c>
      <c r="W8" s="11">
        <v>1</v>
      </c>
      <c r="X8" s="11">
        <v>1</v>
      </c>
      <c r="Y8" s="11">
        <v>160000</v>
      </c>
      <c r="Z8" s="11">
        <v>700000</v>
      </c>
      <c r="AA8" s="12" t="s">
        <v>47</v>
      </c>
      <c r="AB8" s="11">
        <v>4.6857309999999996</v>
      </c>
      <c r="AC8" s="11">
        <v>-74.084351999999996</v>
      </c>
      <c r="AD8" s="11">
        <v>2</v>
      </c>
      <c r="AE8" s="13">
        <v>44524</v>
      </c>
      <c r="AF8" s="11">
        <v>1</v>
      </c>
      <c r="AG8" s="11">
        <v>314567874</v>
      </c>
      <c r="AH8" s="11" t="s">
        <v>48</v>
      </c>
      <c r="AI8" s="11">
        <v>0.12</v>
      </c>
      <c r="AJ8" s="11">
        <v>28000000</v>
      </c>
      <c r="AK8" s="11">
        <v>7</v>
      </c>
      <c r="AL8" s="11">
        <v>2</v>
      </c>
      <c r="AM8" s="11">
        <v>11</v>
      </c>
    </row>
    <row r="9" spans="1:39" ht="324">
      <c r="A9" s="8" t="s">
        <v>93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46</v>
      </c>
      <c r="L9" s="11">
        <v>0</v>
      </c>
      <c r="M9" s="11">
        <v>120000</v>
      </c>
      <c r="N9" s="11">
        <v>40000000</v>
      </c>
      <c r="O9" s="11">
        <f t="shared" si="0"/>
        <v>5.5000000000000049E-2</v>
      </c>
      <c r="P9" s="11">
        <v>37800000</v>
      </c>
      <c r="Q9" s="11">
        <v>1987</v>
      </c>
      <c r="R9" s="11">
        <v>12</v>
      </c>
      <c r="S9" s="11">
        <v>3</v>
      </c>
      <c r="T9" s="11">
        <v>0</v>
      </c>
      <c r="U9" s="11">
        <v>85</v>
      </c>
      <c r="V9" s="11">
        <v>1</v>
      </c>
      <c r="W9" s="11">
        <v>1</v>
      </c>
      <c r="X9" s="11">
        <v>1</v>
      </c>
      <c r="Y9" s="11">
        <v>160000</v>
      </c>
      <c r="Z9" s="11">
        <v>700000</v>
      </c>
      <c r="AA9" s="12" t="s">
        <v>47</v>
      </c>
      <c r="AB9" s="11">
        <v>4.6857309999999996</v>
      </c>
      <c r="AC9" s="11">
        <v>-74.084351999999996</v>
      </c>
      <c r="AD9" s="11">
        <v>2</v>
      </c>
      <c r="AE9" s="13">
        <v>44524</v>
      </c>
      <c r="AF9" s="11">
        <v>1</v>
      </c>
      <c r="AG9" s="11">
        <v>314567874</v>
      </c>
      <c r="AH9" s="11" t="s">
        <v>48</v>
      </c>
      <c r="AI9" s="11">
        <v>0.12</v>
      </c>
      <c r="AJ9" s="11">
        <v>28000000</v>
      </c>
      <c r="AK9" s="11">
        <v>7</v>
      </c>
      <c r="AL9" s="11">
        <v>2</v>
      </c>
      <c r="AM9" s="11">
        <v>11</v>
      </c>
    </row>
    <row r="10" spans="1:39" ht="324">
      <c r="A10" s="8" t="s">
        <v>97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46</v>
      </c>
      <c r="L10" s="11">
        <v>0</v>
      </c>
      <c r="M10" s="11">
        <v>120000</v>
      </c>
      <c r="N10" s="11">
        <v>40000000</v>
      </c>
      <c r="O10" s="11">
        <f t="shared" si="0"/>
        <v>5.5000000000000049E-2</v>
      </c>
      <c r="P10" s="11">
        <v>37800000</v>
      </c>
      <c r="Q10" s="11">
        <v>1987</v>
      </c>
      <c r="R10" s="11">
        <v>12</v>
      </c>
      <c r="S10" s="11">
        <v>3</v>
      </c>
      <c r="T10" s="11">
        <v>0</v>
      </c>
      <c r="U10" s="11">
        <v>85</v>
      </c>
      <c r="V10" s="11">
        <v>1</v>
      </c>
      <c r="W10" s="11">
        <v>1</v>
      </c>
      <c r="X10" s="11">
        <v>1</v>
      </c>
      <c r="Y10" s="11">
        <v>160000</v>
      </c>
      <c r="Z10" s="11">
        <v>700000</v>
      </c>
      <c r="AA10" s="12" t="s">
        <v>47</v>
      </c>
      <c r="AB10" s="11">
        <v>4.6857309999999996</v>
      </c>
      <c r="AC10" s="11">
        <v>-74.084351999999996</v>
      </c>
      <c r="AD10" s="11">
        <v>2</v>
      </c>
      <c r="AE10" s="13">
        <v>44524</v>
      </c>
      <c r="AF10" s="11">
        <v>1</v>
      </c>
      <c r="AG10" s="11">
        <v>314567874</v>
      </c>
      <c r="AH10" s="11" t="s">
        <v>48</v>
      </c>
      <c r="AI10" s="11">
        <v>0.12</v>
      </c>
      <c r="AJ10" s="11">
        <v>28000000</v>
      </c>
      <c r="AK10" s="11">
        <v>7</v>
      </c>
      <c r="AL10" s="11">
        <v>2</v>
      </c>
      <c r="AM10" s="11">
        <v>11</v>
      </c>
    </row>
    <row r="11" spans="1:39" ht="324">
      <c r="A11" s="8" t="s">
        <v>98</v>
      </c>
      <c r="B11" s="8" t="s">
        <v>49</v>
      </c>
      <c r="C11" s="9">
        <v>1.0100000005001499E+23</v>
      </c>
      <c r="D11" s="10">
        <v>10100050015000</v>
      </c>
      <c r="E11" s="8" t="s">
        <v>80</v>
      </c>
      <c r="F11" s="11">
        <v>0</v>
      </c>
      <c r="G11" s="11" t="s">
        <v>43</v>
      </c>
      <c r="H11" s="11" t="s">
        <v>44</v>
      </c>
      <c r="I11" s="11" t="s">
        <v>45</v>
      </c>
      <c r="J11" s="11">
        <v>3</v>
      </c>
      <c r="K11" s="11" t="s">
        <v>46</v>
      </c>
      <c r="L11" s="11">
        <v>0</v>
      </c>
      <c r="M11" s="11">
        <v>120000</v>
      </c>
      <c r="N11" s="11">
        <v>40000000</v>
      </c>
      <c r="O11" s="11">
        <f t="shared" si="0"/>
        <v>5.5000000000000049E-2</v>
      </c>
      <c r="P11" s="11">
        <v>37800000</v>
      </c>
      <c r="Q11" s="11">
        <v>1987</v>
      </c>
      <c r="R11" s="11">
        <v>12</v>
      </c>
      <c r="S11" s="11">
        <v>3</v>
      </c>
      <c r="T11" s="11">
        <v>0</v>
      </c>
      <c r="U11" s="11">
        <v>85</v>
      </c>
      <c r="V11" s="11">
        <v>1</v>
      </c>
      <c r="W11" s="11">
        <v>1</v>
      </c>
      <c r="X11" s="11">
        <v>1</v>
      </c>
      <c r="Y11" s="11">
        <v>160000</v>
      </c>
      <c r="Z11" s="11">
        <v>700000</v>
      </c>
      <c r="AA11" s="12" t="s">
        <v>47</v>
      </c>
      <c r="AB11" s="11">
        <v>4.6857309999999996</v>
      </c>
      <c r="AC11" s="11">
        <v>-74.084351999999996</v>
      </c>
      <c r="AD11" s="11">
        <v>2</v>
      </c>
      <c r="AE11" s="13">
        <v>44524</v>
      </c>
      <c r="AF11" s="11">
        <v>1</v>
      </c>
      <c r="AG11" s="11">
        <v>314567874</v>
      </c>
      <c r="AH11" s="11" t="s">
        <v>48</v>
      </c>
      <c r="AI11" s="11">
        <v>0.12</v>
      </c>
      <c r="AJ11" s="11">
        <v>28000000</v>
      </c>
      <c r="AK11" s="11">
        <v>7</v>
      </c>
      <c r="AL11" s="11">
        <v>2</v>
      </c>
      <c r="AM11" s="11">
        <v>11</v>
      </c>
    </row>
    <row r="12" spans="1:39" ht="324">
      <c r="A12" s="8" t="s">
        <v>99</v>
      </c>
      <c r="B12" s="8" t="s">
        <v>49</v>
      </c>
      <c r="C12" s="9">
        <v>1.0100000005001499E+23</v>
      </c>
      <c r="D12" s="10">
        <v>10100050015000</v>
      </c>
      <c r="E12" s="8" t="s">
        <v>80</v>
      </c>
      <c r="F12" s="11">
        <v>0</v>
      </c>
      <c r="G12" s="11" t="s">
        <v>43</v>
      </c>
      <c r="H12" s="11" t="s">
        <v>44</v>
      </c>
      <c r="I12" s="11" t="s">
        <v>45</v>
      </c>
      <c r="J12" s="11">
        <v>3</v>
      </c>
      <c r="K12" s="11" t="s">
        <v>46</v>
      </c>
      <c r="L12" s="11">
        <v>0</v>
      </c>
      <c r="M12" s="11">
        <v>120000</v>
      </c>
      <c r="N12" s="11">
        <v>40000000</v>
      </c>
      <c r="O12" s="11">
        <f t="shared" si="0"/>
        <v>5.5000000000000049E-2</v>
      </c>
      <c r="P12" s="11">
        <v>37800000</v>
      </c>
      <c r="Q12" s="11">
        <v>1987</v>
      </c>
      <c r="R12" s="11">
        <v>12</v>
      </c>
      <c r="S12" s="11">
        <v>3</v>
      </c>
      <c r="T12" s="11">
        <v>0</v>
      </c>
      <c r="U12" s="11">
        <v>85</v>
      </c>
      <c r="V12" s="11">
        <v>1</v>
      </c>
      <c r="W12" s="11">
        <v>1</v>
      </c>
      <c r="X12" s="11">
        <v>1</v>
      </c>
      <c r="Y12" s="11">
        <v>160000</v>
      </c>
      <c r="Z12" s="11">
        <v>700000</v>
      </c>
      <c r="AA12" s="12" t="s">
        <v>47</v>
      </c>
      <c r="AB12" s="11">
        <v>4.6857309999999996</v>
      </c>
      <c r="AC12" s="11">
        <v>-74.084351999999996</v>
      </c>
      <c r="AD12" s="11">
        <v>2</v>
      </c>
      <c r="AE12" s="13">
        <v>44524</v>
      </c>
      <c r="AF12" s="11">
        <v>1</v>
      </c>
      <c r="AG12" s="11">
        <v>314567874</v>
      </c>
      <c r="AH12" s="11" t="s">
        <v>48</v>
      </c>
      <c r="AI12" s="11">
        <v>0.12</v>
      </c>
      <c r="AJ12" s="11">
        <v>28000000</v>
      </c>
      <c r="AK12" s="11">
        <v>7</v>
      </c>
      <c r="AL12" s="11">
        <v>2</v>
      </c>
      <c r="AM12" s="11">
        <v>11</v>
      </c>
    </row>
    <row r="13" spans="1:39" ht="324">
      <c r="A13" s="8" t="s">
        <v>100</v>
      </c>
      <c r="B13" s="8" t="s">
        <v>49</v>
      </c>
      <c r="C13" s="9">
        <v>1.0100000005001499E+23</v>
      </c>
      <c r="D13" s="10">
        <v>10100050015000</v>
      </c>
      <c r="E13" s="8" t="s">
        <v>80</v>
      </c>
      <c r="F13" s="11">
        <v>0</v>
      </c>
      <c r="G13" s="11" t="s">
        <v>43</v>
      </c>
      <c r="H13" s="11" t="s">
        <v>44</v>
      </c>
      <c r="I13" s="11" t="s">
        <v>45</v>
      </c>
      <c r="J13" s="11">
        <v>3</v>
      </c>
      <c r="K13" s="11" t="s">
        <v>46</v>
      </c>
      <c r="L13" s="11">
        <v>0</v>
      </c>
      <c r="M13" s="11">
        <v>120000</v>
      </c>
      <c r="N13" s="11">
        <v>40000000</v>
      </c>
      <c r="O13" s="11">
        <f t="shared" si="0"/>
        <v>5.5000000000000049E-2</v>
      </c>
      <c r="P13" s="11">
        <v>37800000</v>
      </c>
      <c r="Q13" s="11">
        <v>1987</v>
      </c>
      <c r="R13" s="11">
        <v>12</v>
      </c>
      <c r="S13" s="11">
        <v>3</v>
      </c>
      <c r="T13" s="11">
        <v>0</v>
      </c>
      <c r="U13" s="11">
        <v>85</v>
      </c>
      <c r="V13" s="11">
        <v>1</v>
      </c>
      <c r="W13" s="11">
        <v>1</v>
      </c>
      <c r="X13" s="11">
        <v>1</v>
      </c>
      <c r="Y13" s="11">
        <v>160000</v>
      </c>
      <c r="Z13" s="11">
        <v>700000</v>
      </c>
      <c r="AA13" s="12" t="s">
        <v>47</v>
      </c>
      <c r="AB13" s="11">
        <v>4.6857309999999996</v>
      </c>
      <c r="AC13" s="11">
        <v>-74.084351999999996</v>
      </c>
      <c r="AD13" s="11">
        <v>2</v>
      </c>
      <c r="AE13" s="13">
        <v>44524</v>
      </c>
      <c r="AF13" s="11">
        <v>1</v>
      </c>
      <c r="AG13" s="11">
        <v>314567874</v>
      </c>
      <c r="AH13" s="11" t="s">
        <v>48</v>
      </c>
      <c r="AI13" s="11">
        <v>0.12</v>
      </c>
      <c r="AJ13" s="11">
        <v>28000000</v>
      </c>
      <c r="AK13" s="11">
        <v>7</v>
      </c>
      <c r="AL13" s="11">
        <v>2</v>
      </c>
      <c r="AM13" s="11">
        <v>11</v>
      </c>
    </row>
    <row r="14" spans="1:39" ht="324">
      <c r="A14" s="8" t="s">
        <v>101</v>
      </c>
      <c r="B14" s="8" t="s">
        <v>49</v>
      </c>
      <c r="C14" s="9">
        <v>1.0100000005001499E+23</v>
      </c>
      <c r="D14" s="10">
        <v>10100050015000</v>
      </c>
      <c r="E14" s="8" t="s">
        <v>80</v>
      </c>
      <c r="F14" s="11">
        <v>0</v>
      </c>
      <c r="G14" s="11" t="s">
        <v>43</v>
      </c>
      <c r="H14" s="11" t="s">
        <v>44</v>
      </c>
      <c r="I14" s="11" t="s">
        <v>45</v>
      </c>
      <c r="J14" s="11">
        <v>3</v>
      </c>
      <c r="K14" s="11" t="s">
        <v>46</v>
      </c>
      <c r="L14" s="11">
        <v>0</v>
      </c>
      <c r="M14" s="11">
        <v>120000</v>
      </c>
      <c r="N14" s="11">
        <v>40000000</v>
      </c>
      <c r="O14" s="11">
        <f t="shared" si="0"/>
        <v>5.5000000000000049E-2</v>
      </c>
      <c r="P14" s="11">
        <v>37800000</v>
      </c>
      <c r="Q14" s="11">
        <v>1987</v>
      </c>
      <c r="R14" s="11">
        <v>12</v>
      </c>
      <c r="S14" s="11">
        <v>3</v>
      </c>
      <c r="T14" s="11">
        <v>0</v>
      </c>
      <c r="U14" s="11">
        <v>85</v>
      </c>
      <c r="V14" s="11">
        <v>1</v>
      </c>
      <c r="W14" s="11">
        <v>1</v>
      </c>
      <c r="X14" s="11">
        <v>1</v>
      </c>
      <c r="Y14" s="11">
        <v>160000</v>
      </c>
      <c r="Z14" s="11">
        <v>700000</v>
      </c>
      <c r="AA14" s="12" t="s">
        <v>47</v>
      </c>
      <c r="AB14" s="11">
        <v>4.6857309999999996</v>
      </c>
      <c r="AC14" s="11">
        <v>-74.084351999999996</v>
      </c>
      <c r="AD14" s="11">
        <v>2</v>
      </c>
      <c r="AE14" s="13">
        <v>44524</v>
      </c>
      <c r="AF14" s="11">
        <v>1</v>
      </c>
      <c r="AG14" s="11">
        <v>314567874</v>
      </c>
      <c r="AH14" s="11" t="s">
        <v>48</v>
      </c>
      <c r="AI14" s="11">
        <v>0.12</v>
      </c>
      <c r="AJ14" s="11">
        <v>28000000</v>
      </c>
      <c r="AK14" s="11">
        <v>7</v>
      </c>
      <c r="AL14" s="11">
        <v>2</v>
      </c>
      <c r="AM14" s="11">
        <v>11</v>
      </c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abSelected="1" topLeftCell="A10" workbookViewId="0">
      <selection activeCell="C12" sqref="C12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 t="shared" ref="N3:N12" si="0"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 t="shared" si="0"/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 t="shared" si="0"/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 t="shared" si="0"/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 t="shared" si="0"/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 t="shared" si="0"/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 t="shared" si="0"/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 ht="180">
      <c r="A10" s="8" t="s">
        <v>94</v>
      </c>
      <c r="B10" s="8" t="s">
        <v>49</v>
      </c>
      <c r="C10" s="9">
        <v>1.0100000005001499E+23</v>
      </c>
      <c r="D10" s="10">
        <v>10100050015000</v>
      </c>
      <c r="E10" s="8" t="s">
        <v>80</v>
      </c>
      <c r="F10" s="11">
        <v>0</v>
      </c>
      <c r="G10" s="11" t="s">
        <v>43</v>
      </c>
      <c r="H10" s="11" t="s">
        <v>44</v>
      </c>
      <c r="I10" s="11" t="s">
        <v>45</v>
      </c>
      <c r="J10" s="11">
        <v>3</v>
      </c>
      <c r="K10" s="11" t="s">
        <v>57</v>
      </c>
      <c r="L10" s="11">
        <v>0</v>
      </c>
      <c r="M10" s="11">
        <v>470000000</v>
      </c>
      <c r="N10" s="11">
        <f t="shared" si="0"/>
        <v>4.2553191489361653E-2</v>
      </c>
      <c r="O10" s="11">
        <v>450000000</v>
      </c>
      <c r="P10" s="11">
        <v>1990</v>
      </c>
      <c r="Q10" s="11">
        <v>182</v>
      </c>
      <c r="R10" s="11">
        <v>250</v>
      </c>
      <c r="S10" s="11">
        <v>832000</v>
      </c>
      <c r="T10" s="11">
        <v>1250000</v>
      </c>
      <c r="U10" s="15" t="s">
        <v>58</v>
      </c>
      <c r="V10" s="11">
        <v>4.6885289999999999</v>
      </c>
      <c r="W10" s="11">
        <v>-74.082549999999998</v>
      </c>
      <c r="X10" s="11">
        <v>2</v>
      </c>
      <c r="Y10" s="13">
        <v>44524</v>
      </c>
      <c r="Z10" s="11">
        <v>1</v>
      </c>
      <c r="AA10" s="11">
        <v>3192514878</v>
      </c>
      <c r="AB10" s="11" t="s">
        <v>59</v>
      </c>
      <c r="AC10" s="11">
        <v>320000000</v>
      </c>
      <c r="AD10" s="11">
        <v>7</v>
      </c>
      <c r="AE10" s="11">
        <v>2</v>
      </c>
      <c r="AF10" s="11">
        <v>6</v>
      </c>
    </row>
    <row r="11" spans="1:32" ht="180">
      <c r="A11" s="8" t="s">
        <v>96</v>
      </c>
      <c r="B11" s="8" t="s">
        <v>49</v>
      </c>
      <c r="C11" s="9">
        <v>1.0100000005001499E+23</v>
      </c>
      <c r="D11" s="10">
        <v>10100050015000</v>
      </c>
      <c r="E11" s="8" t="s">
        <v>80</v>
      </c>
      <c r="F11" s="11">
        <v>0</v>
      </c>
      <c r="G11" s="11" t="s">
        <v>43</v>
      </c>
      <c r="H11" s="11" t="s">
        <v>44</v>
      </c>
      <c r="I11" s="11" t="s">
        <v>45</v>
      </c>
      <c r="J11" s="11">
        <v>3</v>
      </c>
      <c r="K11" s="11" t="s">
        <v>57</v>
      </c>
      <c r="L11" s="11">
        <v>0</v>
      </c>
      <c r="M11" s="11">
        <v>470000000</v>
      </c>
      <c r="N11" s="11">
        <f t="shared" si="0"/>
        <v>4.2553191489361653E-2</v>
      </c>
      <c r="O11" s="11">
        <v>450000000</v>
      </c>
      <c r="P11" s="11">
        <v>1990</v>
      </c>
      <c r="Q11" s="11">
        <v>182</v>
      </c>
      <c r="R11" s="11">
        <v>250</v>
      </c>
      <c r="S11" s="11">
        <v>832000</v>
      </c>
      <c r="T11" s="11">
        <v>1250000</v>
      </c>
      <c r="U11" s="15" t="s">
        <v>58</v>
      </c>
      <c r="V11" s="11">
        <v>4.6885289999999999</v>
      </c>
      <c r="W11" s="11">
        <v>-74.082549999999998</v>
      </c>
      <c r="X11" s="11">
        <v>2</v>
      </c>
      <c r="Y11" s="13">
        <v>44524</v>
      </c>
      <c r="Z11" s="11">
        <v>1</v>
      </c>
      <c r="AA11" s="11">
        <v>3192514878</v>
      </c>
      <c r="AB11" s="11" t="s">
        <v>59</v>
      </c>
      <c r="AC11" s="11">
        <v>320000000</v>
      </c>
      <c r="AD11" s="11">
        <v>7</v>
      </c>
      <c r="AE11" s="11">
        <v>2</v>
      </c>
      <c r="AF11" s="11">
        <v>6</v>
      </c>
    </row>
    <row r="12" spans="1:32" ht="180">
      <c r="A12" s="8" t="s">
        <v>102</v>
      </c>
      <c r="B12" s="8" t="s">
        <v>49</v>
      </c>
      <c r="C12" s="9">
        <v>1.0100000005001499E+23</v>
      </c>
      <c r="D12" s="10">
        <v>10100050015000</v>
      </c>
      <c r="E12" s="8" t="s">
        <v>80</v>
      </c>
      <c r="F12" s="11">
        <v>0</v>
      </c>
      <c r="G12" s="11" t="s">
        <v>43</v>
      </c>
      <c r="H12" s="11" t="s">
        <v>44</v>
      </c>
      <c r="I12" s="11" t="s">
        <v>45</v>
      </c>
      <c r="J12" s="11">
        <v>3</v>
      </c>
      <c r="K12" s="11" t="s">
        <v>57</v>
      </c>
      <c r="L12" s="11">
        <v>0</v>
      </c>
      <c r="M12" s="11">
        <v>470000000</v>
      </c>
      <c r="N12" s="11">
        <f t="shared" si="0"/>
        <v>4.2553191489361653E-2</v>
      </c>
      <c r="O12" s="11">
        <v>450000000</v>
      </c>
      <c r="P12" s="11">
        <v>1990</v>
      </c>
      <c r="Q12" s="11">
        <v>182</v>
      </c>
      <c r="R12" s="11">
        <v>250</v>
      </c>
      <c r="S12" s="11">
        <v>832000</v>
      </c>
      <c r="T12" s="11">
        <v>1250000</v>
      </c>
      <c r="U12" s="15" t="s">
        <v>58</v>
      </c>
      <c r="V12" s="11">
        <v>4.6885289999999999</v>
      </c>
      <c r="W12" s="11">
        <v>-74.082549999999998</v>
      </c>
      <c r="X12" s="11">
        <v>2</v>
      </c>
      <c r="Y12" s="13">
        <v>44524</v>
      </c>
      <c r="Z12" s="11">
        <v>1</v>
      </c>
      <c r="AA12" s="11">
        <v>3192514878</v>
      </c>
      <c r="AB12" s="11" t="s">
        <v>59</v>
      </c>
      <c r="AC12" s="11">
        <v>320000000</v>
      </c>
      <c r="AD12" s="11">
        <v>7</v>
      </c>
      <c r="AE12" s="11">
        <v>2</v>
      </c>
      <c r="AF12" s="11">
        <v>6</v>
      </c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topLeftCell="A8" workbookViewId="0">
      <selection activeCell="A8" sqref="A8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 t="shared" ref="O3:O8" si="0"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 t="shared" si="0"/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 t="shared" si="0"/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 t="shared" si="0"/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 ht="409.5">
      <c r="A7" s="8" t="s">
        <v>95</v>
      </c>
      <c r="B7" s="8" t="s">
        <v>49</v>
      </c>
      <c r="C7" s="9">
        <v>7.3168000200000003E+29</v>
      </c>
      <c r="D7" s="10">
        <v>7.3168000200530002E+19</v>
      </c>
      <c r="E7" s="8" t="s">
        <v>79</v>
      </c>
      <c r="F7" s="11">
        <v>0</v>
      </c>
      <c r="G7" s="11" t="s">
        <v>43</v>
      </c>
      <c r="H7" s="11" t="s">
        <v>70</v>
      </c>
      <c r="I7" s="11" t="s">
        <v>71</v>
      </c>
      <c r="J7" s="11">
        <v>3</v>
      </c>
      <c r="K7" s="11" t="s">
        <v>72</v>
      </c>
      <c r="L7" s="15" t="s">
        <v>73</v>
      </c>
      <c r="M7" s="11">
        <v>0</v>
      </c>
      <c r="N7" s="11">
        <v>250000000</v>
      </c>
      <c r="O7" s="11">
        <f t="shared" si="0"/>
        <v>7.999999999999996E-2</v>
      </c>
      <c r="P7" s="11">
        <v>230000000</v>
      </c>
      <c r="Q7" s="11">
        <v>2000</v>
      </c>
      <c r="R7" s="11">
        <v>8.5</v>
      </c>
      <c r="S7" s="11">
        <v>200</v>
      </c>
      <c r="T7" s="11">
        <v>875000</v>
      </c>
      <c r="U7" s="11">
        <v>5500000</v>
      </c>
      <c r="V7" s="15" t="s">
        <v>74</v>
      </c>
      <c r="W7" s="11">
        <v>3.452655</v>
      </c>
      <c r="X7" s="11">
        <v>-75.471118000000004</v>
      </c>
      <c r="Y7" s="11">
        <v>2</v>
      </c>
      <c r="Z7" s="13">
        <v>44524</v>
      </c>
      <c r="AA7" s="11">
        <v>0</v>
      </c>
      <c r="AB7" s="11">
        <v>3203135121</v>
      </c>
      <c r="AC7" s="11" t="s">
        <v>77</v>
      </c>
      <c r="AD7" s="11">
        <v>185000000</v>
      </c>
      <c r="AE7" s="11">
        <v>2</v>
      </c>
      <c r="AF7" s="11">
        <v>2</v>
      </c>
      <c r="AG7" s="11">
        <v>4</v>
      </c>
      <c r="AH7" s="11" t="s">
        <v>75</v>
      </c>
      <c r="AI7" s="14"/>
    </row>
    <row r="8" spans="1:35" ht="409.5">
      <c r="A8" s="8" t="s">
        <v>82</v>
      </c>
      <c r="B8" s="8" t="s">
        <v>49</v>
      </c>
      <c r="C8" s="9">
        <v>7.3168000200000003E+29</v>
      </c>
      <c r="D8" s="10">
        <v>7.3168000200530002E+19</v>
      </c>
      <c r="E8" s="8" t="s">
        <v>79</v>
      </c>
      <c r="F8" s="11">
        <v>0</v>
      </c>
      <c r="G8" s="11" t="s">
        <v>43</v>
      </c>
      <c r="H8" s="11" t="s">
        <v>70</v>
      </c>
      <c r="I8" s="11" t="s">
        <v>71</v>
      </c>
      <c r="J8" s="11">
        <v>3</v>
      </c>
      <c r="K8" s="11" t="s">
        <v>72</v>
      </c>
      <c r="L8" s="15" t="s">
        <v>73</v>
      </c>
      <c r="M8" s="11">
        <v>0</v>
      </c>
      <c r="N8" s="11">
        <v>250000000</v>
      </c>
      <c r="O8" s="11">
        <f t="shared" si="0"/>
        <v>7.999999999999996E-2</v>
      </c>
      <c r="P8" s="11">
        <v>230000000</v>
      </c>
      <c r="Q8" s="11">
        <v>2000</v>
      </c>
      <c r="R8" s="11">
        <v>8.5</v>
      </c>
      <c r="S8" s="11">
        <v>200</v>
      </c>
      <c r="T8" s="11">
        <v>875000</v>
      </c>
      <c r="U8" s="11">
        <v>5500000</v>
      </c>
      <c r="V8" s="15" t="s">
        <v>74</v>
      </c>
      <c r="W8" s="11">
        <v>3.452655</v>
      </c>
      <c r="X8" s="11">
        <v>-75.471118000000004</v>
      </c>
      <c r="Y8" s="11">
        <v>2</v>
      </c>
      <c r="Z8" s="13">
        <v>44524</v>
      </c>
      <c r="AA8" s="11">
        <v>0</v>
      </c>
      <c r="AB8" s="11">
        <v>3203135121</v>
      </c>
      <c r="AC8" s="11" t="s">
        <v>77</v>
      </c>
      <c r="AD8" s="11">
        <v>185000000</v>
      </c>
      <c r="AE8" s="11">
        <v>2</v>
      </c>
      <c r="AF8" s="11">
        <v>2</v>
      </c>
      <c r="AG8" s="11">
        <v>4</v>
      </c>
      <c r="AH8" s="11" t="s">
        <v>75</v>
      </c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2022-02-12T21:54:14Z</dcterms:modified>
</cp:coreProperties>
</file>