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 activeTab="2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9" i="3" l="1"/>
  <c r="O8" i="3"/>
  <c r="O7" i="3"/>
  <c r="O6" i="3"/>
  <c r="O5" i="3"/>
  <c r="O4" i="3"/>
  <c r="N4" i="2" l="1"/>
  <c r="O4" i="1"/>
  <c r="O3" i="3" l="1"/>
  <c r="N3" i="2"/>
  <c r="O3" i="1"/>
</calcChain>
</file>

<file path=xl/sharedStrings.xml><?xml version="1.0" encoding="utf-8"?>
<sst xmlns="http://schemas.openxmlformats.org/spreadsheetml/2006/main" count="320" uniqueCount="92">
  <si>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</si>
  <si>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</si>
  <si>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</si>
  <si>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</si>
  <si>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</si>
  <si>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</si>
  <si>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</si>
  <si>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</si>
  <si>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</si>
  <si>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</si>
  <si>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</si>
  <si>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</si>
  <si>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</si>
  <si>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</si>
  <si>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</si>
  <si>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</si>
  <si>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</si>
  <si>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</si>
  <si>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</si>
  <si>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</si>
  <si>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</si>
  <si>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</si>
  <si>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</si>
  <si>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</si>
  <si>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</si>
  <si>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</si>
  <si>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</si>
  <si>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</si>
  <si>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</si>
  <si>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</si>
  <si>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</si>
  <si>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</si>
  <si>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</si>
  <si>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</si>
  <si>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</si>
  <si>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</si>
  <si>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</si>
  <si>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</si>
  <si>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</si>
  <si>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</si>
  <si>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</si>
  <si>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</si>
  <si>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</si>
  <si>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</si>
  <si>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</si>
  <si>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</si>
  <si>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</si>
  <si>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</si>
  <si>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</si>
  <si>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</si>
  <si>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</si>
  <si>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</si>
  <si>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</si>
  <si>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</si>
  <si>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</si>
  <si>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</si>
  <si>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</si>
  <si>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</si>
  <si>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</si>
  <si>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</si>
  <si>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</si>
  <si>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</si>
  <si>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</si>
  <si>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</si>
  <si>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</si>
  <si>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</si>
  <si>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</si>
  <si>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</si>
  <si>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</si>
  <si>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</si>
  <si>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</si>
  <si>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</si>
  <si>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</si>
  <si>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</si>
  <si>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</si>
  <si>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</si>
  <si>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</si>
  <si>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</si>
  <si>
    <t>2</t>
  </si>
  <si>
    <t>1234568</t>
  </si>
  <si>
    <t>1789577</t>
  </si>
  <si>
    <t>12345689</t>
  </si>
  <si>
    <t>3</t>
  </si>
  <si>
    <t>12345680</t>
  </si>
  <si>
    <t>4</t>
  </si>
  <si>
    <t>12345681</t>
  </si>
  <si>
    <t>5</t>
  </si>
  <si>
    <t>12345682</t>
  </si>
  <si>
    <t>6</t>
  </si>
  <si>
    <t>12345683</t>
  </si>
  <si>
    <t>7</t>
  </si>
  <si>
    <t>12345684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</si>
</sst>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6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 ht="324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46</v>
      </c>
      <c r="L4" s="12">
        <v>0</v>
      </c>
      <c r="M4" s="12">
        <v>120000</v>
      </c>
      <c r="N4" s="12">
        <v>40000000</v>
      </c>
      <c r="O4" s="12">
        <f>1-(P4/N4)</f>
        <v>5.5000000000000049E-2</v>
      </c>
      <c r="P4" s="12">
        <v>37800000</v>
      </c>
      <c r="Q4" s="12">
        <v>1987</v>
      </c>
      <c r="R4" s="12">
        <v>12</v>
      </c>
      <c r="S4" s="12">
        <v>3</v>
      </c>
      <c r="T4" s="12">
        <v>0</v>
      </c>
      <c r="U4" s="12">
        <v>85</v>
      </c>
      <c r="V4" s="12">
        <v>1</v>
      </c>
      <c r="W4" s="12">
        <v>1</v>
      </c>
      <c r="X4" s="12">
        <v>1</v>
      </c>
      <c r="Y4" s="12">
        <v>160000</v>
      </c>
      <c r="Z4" s="12">
        <v>700000</v>
      </c>
      <c r="AA4" s="13" t="s">
        <v>47</v>
      </c>
      <c r="AB4" s="12">
        <v>4.6857309999999996</v>
      </c>
      <c r="AC4" s="12">
        <v>-74.084351999999996</v>
      </c>
      <c r="AD4" s="12">
        <v>2</v>
      </c>
      <c r="AE4" s="14">
        <v>44524</v>
      </c>
      <c r="AF4" s="12">
        <v>1</v>
      </c>
      <c r="AG4" s="12">
        <v>314567874</v>
      </c>
      <c r="AH4" s="12" t="s">
        <v>48</v>
      </c>
      <c r="AI4" s="12">
        <v>0.12</v>
      </c>
      <c r="AJ4" s="12">
        <v>28000000</v>
      </c>
      <c r="AK4" s="12">
        <v>7</v>
      </c>
      <c r="AL4" s="12">
        <v>2</v>
      </c>
      <c r="AM4" s="12">
        <v>11</v>
      </c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C4" sqref="C4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9" t="s">
        <v>80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 ht="180">
      <c r="A4" s="9" t="s">
        <v>78</v>
      </c>
      <c r="B4" s="9" t="s">
        <v>49</v>
      </c>
      <c r="C4" s="10">
        <v>1.0100000005001499E+23</v>
      </c>
      <c r="D4" s="11">
        <v>10100050015000</v>
      </c>
      <c r="E4" s="12">
        <v>178956</v>
      </c>
      <c r="F4" s="12">
        <v>0</v>
      </c>
      <c r="G4" s="12" t="s">
        <v>43</v>
      </c>
      <c r="H4" s="12" t="s">
        <v>44</v>
      </c>
      <c r="I4" s="12" t="s">
        <v>45</v>
      </c>
      <c r="J4" s="12">
        <v>3</v>
      </c>
      <c r="K4" s="12" t="s">
        <v>57</v>
      </c>
      <c r="L4" s="12">
        <v>0</v>
      </c>
      <c r="M4" s="12">
        <v>470000000</v>
      </c>
      <c r="N4" s="12">
        <f>1-(O4/M4)</f>
        <v>4.2553191489361653E-2</v>
      </c>
      <c r="O4" s="12">
        <v>450000000</v>
      </c>
      <c r="P4" s="12">
        <v>1990</v>
      </c>
      <c r="Q4" s="12">
        <v>182</v>
      </c>
      <c r="R4" s="12">
        <v>250</v>
      </c>
      <c r="S4" s="12">
        <v>832000</v>
      </c>
      <c r="T4" s="12">
        <v>1250000</v>
      </c>
      <c r="U4" s="16" t="s">
        <v>58</v>
      </c>
      <c r="V4" s="12">
        <v>4.6885289999999999</v>
      </c>
      <c r="W4" s="12">
        <v>-74.082549999999998</v>
      </c>
      <c r="X4" s="12">
        <v>2</v>
      </c>
      <c r="Y4" s="14">
        <v>44524</v>
      </c>
      <c r="Z4" s="12">
        <v>1</v>
      </c>
      <c r="AA4" s="12">
        <v>3192514878</v>
      </c>
      <c r="AB4" s="12" t="s">
        <v>59</v>
      </c>
      <c r="AC4" s="12">
        <v>320000000</v>
      </c>
      <c r="AD4" s="12">
        <v>7</v>
      </c>
      <c r="AE4" s="12">
        <v>2</v>
      </c>
      <c r="AF4" s="12">
        <v>6</v>
      </c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tabSelected="1" topLeftCell="A9" workbookViewId="0">
      <selection activeCell="D9" sqref="D9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9" t="s">
        <v>79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 ht="409.5">
      <c r="A4" s="9" t="s">
        <v>78</v>
      </c>
      <c r="B4" s="9" t="s">
        <v>49</v>
      </c>
      <c r="C4" s="10">
        <v>7.3168000200000003E+29</v>
      </c>
      <c r="D4" s="11">
        <v>7.3168000200530002E+19</v>
      </c>
      <c r="E4" s="9" t="s">
        <v>81</v>
      </c>
      <c r="F4" s="12">
        <v>0</v>
      </c>
      <c r="G4" s="12" t="s">
        <v>43</v>
      </c>
      <c r="H4" s="12" t="s">
        <v>70</v>
      </c>
      <c r="I4" s="12" t="s">
        <v>71</v>
      </c>
      <c r="J4" s="12">
        <v>3</v>
      </c>
      <c r="K4" s="12" t="s">
        <v>72</v>
      </c>
      <c r="L4" s="16" t="s">
        <v>73</v>
      </c>
      <c r="M4" s="12">
        <v>0</v>
      </c>
      <c r="N4" s="12">
        <v>250000000</v>
      </c>
      <c r="O4" s="12">
        <f>1-(P4/N4)</f>
        <v>7.999999999999996E-2</v>
      </c>
      <c r="P4" s="12">
        <v>230000000</v>
      </c>
      <c r="Q4" s="12">
        <v>2000</v>
      </c>
      <c r="R4" s="12">
        <v>8.5</v>
      </c>
      <c r="S4" s="12">
        <v>200</v>
      </c>
      <c r="T4" s="12">
        <v>875000</v>
      </c>
      <c r="U4" s="12">
        <v>5500000</v>
      </c>
      <c r="V4" s="16" t="s">
        <v>74</v>
      </c>
      <c r="W4" s="12">
        <v>3.452655</v>
      </c>
      <c r="X4" s="12">
        <v>-75.471118000000004</v>
      </c>
      <c r="Y4" s="12">
        <v>2</v>
      </c>
      <c r="Z4" s="14">
        <v>44524</v>
      </c>
      <c r="AA4" s="12">
        <v>0</v>
      </c>
      <c r="AB4" s="12">
        <v>3203135121</v>
      </c>
      <c r="AC4" s="12" t="s">
        <v>77</v>
      </c>
      <c r="AD4" s="12">
        <v>185000000</v>
      </c>
      <c r="AE4" s="12">
        <v>2</v>
      </c>
      <c r="AF4" s="12">
        <v>2</v>
      </c>
      <c r="AG4" s="12">
        <v>4</v>
      </c>
      <c r="AH4" s="12" t="s">
        <v>75</v>
      </c>
      <c r="AI4" s="12"/>
    </row>
    <row r="5" spans="1:35" ht="409.5">
      <c r="A5" s="9" t="s">
        <v>82</v>
      </c>
      <c r="B5" s="9" t="s">
        <v>49</v>
      </c>
      <c r="C5" s="10">
        <v>7.3168000200000003E+29</v>
      </c>
      <c r="D5" s="11">
        <v>7.3168000200530002E+19</v>
      </c>
      <c r="E5" s="9" t="s">
        <v>83</v>
      </c>
      <c r="F5" s="12">
        <v>0</v>
      </c>
      <c r="G5" s="12" t="s">
        <v>43</v>
      </c>
      <c r="H5" s="12" t="s">
        <v>70</v>
      </c>
      <c r="I5" s="12" t="s">
        <v>71</v>
      </c>
      <c r="J5" s="12">
        <v>3</v>
      </c>
      <c r="K5" s="12" t="s">
        <v>72</v>
      </c>
      <c r="L5" s="16" t="s">
        <v>73</v>
      </c>
      <c r="M5" s="12">
        <v>0</v>
      </c>
      <c r="N5" s="12">
        <v>250000000</v>
      </c>
      <c r="O5" s="12">
        <f>1-(P5/N5)</f>
        <v>7.999999999999996E-2</v>
      </c>
      <c r="P5" s="12">
        <v>230000000</v>
      </c>
      <c r="Q5" s="12">
        <v>2000</v>
      </c>
      <c r="R5" s="12">
        <v>8.5</v>
      </c>
      <c r="S5" s="12">
        <v>200</v>
      </c>
      <c r="T5" s="12">
        <v>875000</v>
      </c>
      <c r="U5" s="12">
        <v>5500000</v>
      </c>
      <c r="V5" s="16" t="s">
        <v>74</v>
      </c>
      <c r="W5" s="12">
        <v>3.452655</v>
      </c>
      <c r="X5" s="12">
        <v>-75.471118000000004</v>
      </c>
      <c r="Y5" s="12">
        <v>2</v>
      </c>
      <c r="Z5" s="14">
        <v>44524</v>
      </c>
      <c r="AA5" s="12">
        <v>0</v>
      </c>
      <c r="AB5" s="12">
        <v>3203135121</v>
      </c>
      <c r="AC5" s="12" t="s">
        <v>77</v>
      </c>
      <c r="AD5" s="12">
        <v>185000000</v>
      </c>
      <c r="AE5" s="12">
        <v>2</v>
      </c>
      <c r="AF5" s="12">
        <v>2</v>
      </c>
      <c r="AG5" s="12">
        <v>4</v>
      </c>
      <c r="AH5" s="12" t="s">
        <v>75</v>
      </c>
      <c r="AI5" s="15"/>
    </row>
    <row r="6" spans="1:35" ht="409.5">
      <c r="A6" s="9" t="s">
        <v>84</v>
      </c>
      <c r="B6" s="9" t="s">
        <v>49</v>
      </c>
      <c r="C6" s="10">
        <v>7.3168000200000003E+29</v>
      </c>
      <c r="D6" s="11">
        <v>7.3168000200530002E+19</v>
      </c>
      <c r="E6" s="9" t="s">
        <v>85</v>
      </c>
      <c r="F6" s="12">
        <v>0</v>
      </c>
      <c r="G6" s="18" t="s">
        <v>43</v>
      </c>
      <c r="H6" s="12" t="s">
        <v>70</v>
      </c>
      <c r="I6" s="12" t="s">
        <v>71</v>
      </c>
      <c r="J6" s="12">
        <v>3</v>
      </c>
      <c r="K6" s="12" t="s">
        <v>72</v>
      </c>
      <c r="L6" s="16" t="s">
        <v>73</v>
      </c>
      <c r="M6" s="12">
        <v>0</v>
      </c>
      <c r="N6" s="12">
        <v>250000000</v>
      </c>
      <c r="O6" s="12">
        <f>1-(P6/N6)</f>
        <v>7.999999999999996E-2</v>
      </c>
      <c r="P6" s="12">
        <v>230000000</v>
      </c>
      <c r="Q6" s="12">
        <v>2000</v>
      </c>
      <c r="R6" s="12">
        <v>8.5</v>
      </c>
      <c r="S6" s="12">
        <v>200</v>
      </c>
      <c r="T6" s="12">
        <v>875000</v>
      </c>
      <c r="U6" s="12">
        <v>5500000</v>
      </c>
      <c r="V6" s="16" t="s">
        <v>74</v>
      </c>
      <c r="W6" s="12">
        <v>3.452655</v>
      </c>
      <c r="X6" s="12">
        <v>-75.471118000000004</v>
      </c>
      <c r="Y6" s="12">
        <v>2</v>
      </c>
      <c r="Z6" s="14">
        <v>44524</v>
      </c>
      <c r="AA6" s="12">
        <v>0</v>
      </c>
      <c r="AB6" s="12">
        <v>3203135121</v>
      </c>
      <c r="AC6" s="12" t="s">
        <v>77</v>
      </c>
      <c r="AD6" s="12">
        <v>185000000</v>
      </c>
      <c r="AE6" s="12">
        <v>2</v>
      </c>
      <c r="AF6" s="12">
        <v>2</v>
      </c>
      <c r="AG6" s="12">
        <v>4</v>
      </c>
      <c r="AH6" s="12" t="s">
        <v>75</v>
      </c>
      <c r="AI6" s="15"/>
    </row>
    <row r="7" spans="1:35" ht="409.5">
      <c r="A7" s="9" t="s">
        <v>86</v>
      </c>
      <c r="B7" s="9" t="s">
        <v>49</v>
      </c>
      <c r="C7" s="10">
        <v>7.3168000200000003E+29</v>
      </c>
      <c r="D7" s="11">
        <v>7.3168000200530002E+19</v>
      </c>
      <c r="E7" s="9" t="s">
        <v>87</v>
      </c>
      <c r="F7" s="12">
        <v>0</v>
      </c>
      <c r="G7" s="18" t="s">
        <v>43</v>
      </c>
      <c r="H7" s="12" t="s">
        <v>70</v>
      </c>
      <c r="I7" s="12" t="s">
        <v>71</v>
      </c>
      <c r="J7" s="12">
        <v>3</v>
      </c>
      <c r="K7" s="12" t="s">
        <v>72</v>
      </c>
      <c r="L7" s="16" t="s">
        <v>73</v>
      </c>
      <c r="M7" s="12">
        <v>0</v>
      </c>
      <c r="N7" s="12">
        <v>250000000</v>
      </c>
      <c r="O7" s="12">
        <f>1-(P7/N7)</f>
        <v>7.999999999999996E-2</v>
      </c>
      <c r="P7" s="12">
        <v>230000000</v>
      </c>
      <c r="Q7" s="12">
        <v>2000</v>
      </c>
      <c r="R7" s="12">
        <v>8.5</v>
      </c>
      <c r="S7" s="12">
        <v>200</v>
      </c>
      <c r="T7" s="12">
        <v>875000</v>
      </c>
      <c r="U7" s="12">
        <v>5500000</v>
      </c>
      <c r="V7" s="16" t="s">
        <v>74</v>
      </c>
      <c r="W7" s="12">
        <v>3.452655</v>
      </c>
      <c r="X7" s="12">
        <v>-75.471118000000004</v>
      </c>
      <c r="Y7" s="12">
        <v>2</v>
      </c>
      <c r="Z7" s="14">
        <v>44524</v>
      </c>
      <c r="AA7" s="12">
        <v>0</v>
      </c>
      <c r="AB7" s="12">
        <v>3203135121</v>
      </c>
      <c r="AC7" s="12" t="s">
        <v>77</v>
      </c>
      <c r="AD7" s="12">
        <v>185000000</v>
      </c>
      <c r="AE7" s="12">
        <v>2</v>
      </c>
      <c r="AF7" s="12">
        <v>2</v>
      </c>
      <c r="AG7" s="12">
        <v>4</v>
      </c>
      <c r="AH7" s="12" t="s">
        <v>75</v>
      </c>
      <c r="AI7" s="15"/>
    </row>
    <row r="8" spans="1:35" ht="409.5">
      <c r="A8" s="9" t="s">
        <v>88</v>
      </c>
      <c r="B8" s="9" t="s">
        <v>49</v>
      </c>
      <c r="C8" s="10">
        <v>7.3168000200000003E+29</v>
      </c>
      <c r="D8" s="11">
        <v>7.3168000200530002E+19</v>
      </c>
      <c r="E8" s="9" t="s">
        <v>89</v>
      </c>
      <c r="F8" s="12">
        <v>0</v>
      </c>
      <c r="G8" s="18" t="s">
        <v>43</v>
      </c>
      <c r="H8" s="12" t="s">
        <v>70</v>
      </c>
      <c r="I8" s="12" t="s">
        <v>71</v>
      </c>
      <c r="J8" s="12">
        <v>3</v>
      </c>
      <c r="K8" s="12" t="s">
        <v>72</v>
      </c>
      <c r="L8" s="16" t="s">
        <v>73</v>
      </c>
      <c r="M8" s="12">
        <v>0</v>
      </c>
      <c r="N8" s="12">
        <v>250000000</v>
      </c>
      <c r="O8" s="12">
        <f>1-(P8/N8)</f>
        <v>7.999999999999996E-2</v>
      </c>
      <c r="P8" s="12">
        <v>230000000</v>
      </c>
      <c r="Q8" s="12">
        <v>2000</v>
      </c>
      <c r="R8" s="12">
        <v>8.5</v>
      </c>
      <c r="S8" s="12">
        <v>200</v>
      </c>
      <c r="T8" s="12">
        <v>875000</v>
      </c>
      <c r="U8" s="12">
        <v>5500000</v>
      </c>
      <c r="V8" s="16" t="s">
        <v>74</v>
      </c>
      <c r="W8" s="12">
        <v>3.452655</v>
      </c>
      <c r="X8" s="12">
        <v>-75.471118000000004</v>
      </c>
      <c r="Y8" s="12">
        <v>2</v>
      </c>
      <c r="Z8" s="14">
        <v>44524</v>
      </c>
      <c r="AA8" s="12">
        <v>0</v>
      </c>
      <c r="AB8" s="12">
        <v>3203135121</v>
      </c>
      <c r="AC8" s="12" t="s">
        <v>77</v>
      </c>
      <c r="AD8" s="12">
        <v>185000000</v>
      </c>
      <c r="AE8" s="12">
        <v>2</v>
      </c>
      <c r="AF8" s="12">
        <v>2</v>
      </c>
      <c r="AG8" s="12">
        <v>4</v>
      </c>
      <c r="AH8" s="12" t="s">
        <v>75</v>
      </c>
      <c r="AI8" s="15"/>
    </row>
    <row r="9" spans="1:35" ht="409.5">
      <c r="A9" s="9" t="s">
        <v>90</v>
      </c>
      <c r="B9" s="9" t="s">
        <v>49</v>
      </c>
      <c r="C9" s="10">
        <v>7.3168000200000003E+29</v>
      </c>
      <c r="D9" s="19">
        <v>7.3168000200530002E+19</v>
      </c>
      <c r="E9" s="9" t="s">
        <v>91</v>
      </c>
      <c r="F9" s="12">
        <v>0</v>
      </c>
      <c r="G9" s="18" t="s">
        <v>43</v>
      </c>
      <c r="H9" s="12" t="s">
        <v>70</v>
      </c>
      <c r="I9" s="12" t="s">
        <v>71</v>
      </c>
      <c r="J9" s="12">
        <v>3</v>
      </c>
      <c r="K9" s="12" t="s">
        <v>72</v>
      </c>
      <c r="L9" s="16" t="s">
        <v>73</v>
      </c>
      <c r="M9" s="12">
        <v>0</v>
      </c>
      <c r="N9" s="12">
        <v>250000000</v>
      </c>
      <c r="O9" s="12">
        <f>1-(P9/N9)</f>
        <v>7.999999999999996E-2</v>
      </c>
      <c r="P9" s="12">
        <v>230000000</v>
      </c>
      <c r="Q9" s="12">
        <v>2000</v>
      </c>
      <c r="R9" s="12">
        <v>8.5</v>
      </c>
      <c r="S9" s="12">
        <v>200</v>
      </c>
      <c r="T9" s="12">
        <v>875000</v>
      </c>
      <c r="U9" s="12">
        <v>5500000</v>
      </c>
      <c r="V9" s="16" t="s">
        <v>74</v>
      </c>
      <c r="W9" s="12">
        <v>3.452655</v>
      </c>
      <c r="X9" s="12">
        <v>-75.471118000000004</v>
      </c>
      <c r="Y9" s="12">
        <v>2</v>
      </c>
      <c r="Z9" s="14">
        <v>44524</v>
      </c>
      <c r="AA9" s="12">
        <v>0</v>
      </c>
      <c r="AB9" s="12">
        <v>3203135121</v>
      </c>
      <c r="AC9" s="12" t="s">
        <v>77</v>
      </c>
      <c r="AD9" s="12">
        <v>185000000</v>
      </c>
      <c r="AE9" s="12">
        <v>2</v>
      </c>
      <c r="AF9" s="12">
        <v>2</v>
      </c>
      <c r="AG9" s="12">
        <v>4</v>
      </c>
      <c r="AH9" s="12" t="s">
        <v>75</v>
      </c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2022-02-11T16:26:22Z</dcterms:modified>
</cp:coreProperties>
</file>