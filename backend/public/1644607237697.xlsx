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O5" i="1"/>
  <c r="N5" i="2"/>
  <c r="O15" i="3"/>
  <c r="O14" i="3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<sst xmlns="http://schemas.openxmlformats.org/spreadsheetml/2006/main" count="413" uniqueCount="104">
  <si>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</si>
  <si>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</si>
  <si>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</si>
  <si>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</si>
  <si>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</si>
  <si>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</si>
  <si>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</si>
  <si>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</si>
  <si>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</si>
  <si>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</si>
  <si>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</si>
  <si>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</si>
  <si>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</si>
  <si>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</si>
  <si>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</si>
  <si>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</si>
  <si>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</si>
  <si>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</si>
  <si>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</si>
  <si>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</si>
  <si>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</si>
  <si>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</si>
  <si>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</si>
  <si>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</si>
  <si>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</si>
  <si>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</si>
  <si>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</si>
  <si>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</si>
  <si>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</si>
  <si>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</si>
  <si>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</si>
  <si>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</si>
  <si>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</si>
  <si>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</si>
  <si>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</si>
  <si>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</si>
  <si>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</si>
  <si>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</si>
  <si>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</si>
  <si>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</si>
  <si>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</si>
  <si>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</si>
  <si>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</si>
  <si>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</si>
  <si>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</si>
  <si>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</si>
  <si>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</si>
  <si>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</si>
  <si>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</si>
  <si>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</si>
  <si>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</si>
  <si>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</si>
  <si>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</si>
  <si>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</si>
  <si>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</si>
  <si>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</si>
  <si>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</si>
  <si>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</si>
  <si>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</si>
  <si>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</si>
  <si>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</si>
  <si>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</si>
  <si>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</si>
  <si>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</si>
  <si>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</si>
  <si>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</si>
  <si>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</si>
  <si>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</si>
  <si>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</si>
  <si>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</si>
  <si>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</si>
  <si>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</si>
  <si>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</si>
  <si>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</si>
  <si>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</si>
  <si>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</si>
  <si>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</si>
  <si>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</si>
  <si>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</si>
  <si>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</si>
  <si>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</si>
  <si>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</si>
  <si>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</si>
  <si>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</si>
  <si>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</si>
  <si>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</si>
  <si>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</si>
  <si>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</si>
  <si>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</si>
  <si>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</si>
  <si>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</si>
  <si>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</si>
  <si>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</si>
  <si>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</si>
  <si>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</si>
  <si>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</si>
  <si>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</si>
  <si>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</si>
  <si>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</si>
  <si>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</si>
  <si>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</si>
  <si>
    <t>13</t>
  </si>
  <si>
    <t>178957</t>
  </si>
  <si>
    <t>178958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</si>
</sst>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E5" sqref="E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6" workbookViewId="0">
      <selection activeCell="E6" sqref="E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84</v>
      </c>
      <c r="B6" s="8" t="s">
        <v>49</v>
      </c>
      <c r="C6" s="9">
        <v>1.0100000005001499E+23</v>
      </c>
      <c r="D6" s="10">
        <v>10100050015000</v>
      </c>
      <c r="E6" s="8" t="s">
        <v>103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15" workbookViewId="0">
      <selection activeCell="H15" sqref="H1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11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81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82</v>
      </c>
      <c r="B5" s="8" t="s">
        <v>49</v>
      </c>
      <c r="C5" s="9">
        <v>7.3168000200000003E+29</v>
      </c>
      <c r="D5" s="10">
        <v>7.3168000200530002E+19</v>
      </c>
      <c r="E5" s="8" t="s">
        <v>83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84</v>
      </c>
      <c r="B6" s="8" t="s">
        <v>49</v>
      </c>
      <c r="C6" s="9">
        <v>7.3168000200000003E+29</v>
      </c>
      <c r="D6" s="10">
        <v>7.3168000200530002E+19</v>
      </c>
      <c r="E6" s="8" t="s">
        <v>85</v>
      </c>
      <c r="F6" s="11">
        <v>0</v>
      </c>
      <c r="G6" s="17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86</v>
      </c>
      <c r="B7" s="8" t="s">
        <v>49</v>
      </c>
      <c r="C7" s="9">
        <v>7.3168000200000003E+29</v>
      </c>
      <c r="D7" s="10">
        <v>7.3168000200530002E+19</v>
      </c>
      <c r="E7" s="8" t="s">
        <v>87</v>
      </c>
      <c r="F7" s="11">
        <v>0</v>
      </c>
      <c r="G7" s="17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88</v>
      </c>
      <c r="B8" s="8" t="s">
        <v>49</v>
      </c>
      <c r="C8" s="9">
        <v>7.3168000200000003E+29</v>
      </c>
      <c r="D8" s="10">
        <v>7.3168000200530002E+19</v>
      </c>
      <c r="E8" s="8" t="s">
        <v>89</v>
      </c>
      <c r="F8" s="11">
        <v>0</v>
      </c>
      <c r="G8" s="17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90</v>
      </c>
      <c r="B9" s="8" t="s">
        <v>49</v>
      </c>
      <c r="C9" s="9">
        <v>7.3168000200000003E+29</v>
      </c>
      <c r="D9" s="18">
        <v>7.3168000200530002E+19</v>
      </c>
      <c r="E9" s="8" t="s">
        <v>91</v>
      </c>
      <c r="F9" s="11">
        <v>0</v>
      </c>
      <c r="G9" s="17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 ht="409.5">
      <c r="A10" s="8" t="s">
        <v>92</v>
      </c>
      <c r="B10" s="8" t="s">
        <v>49</v>
      </c>
      <c r="C10" s="9">
        <v>7.3168000200000003E+29</v>
      </c>
      <c r="D10" s="18">
        <v>7.3168000200530002E+19</v>
      </c>
      <c r="E10" s="8" t="s">
        <v>93</v>
      </c>
      <c r="F10" s="11">
        <v>0</v>
      </c>
      <c r="G10" s="17" t="s">
        <v>43</v>
      </c>
      <c r="H10" s="11" t="s">
        <v>70</v>
      </c>
      <c r="I10" s="11" t="s">
        <v>71</v>
      </c>
      <c r="J10" s="11">
        <v>3</v>
      </c>
      <c r="K10" s="11" t="s">
        <v>72</v>
      </c>
      <c r="L10" s="15" t="s">
        <v>73</v>
      </c>
      <c r="M10" s="11">
        <v>0</v>
      </c>
      <c r="N10" s="11">
        <v>250000000</v>
      </c>
      <c r="O10" s="11">
        <f>1-(P10/N10)</f>
        <v>7.999999999999996E-2</v>
      </c>
      <c r="P10" s="11">
        <v>230000000</v>
      </c>
      <c r="Q10" s="11">
        <v>2000</v>
      </c>
      <c r="R10" s="11">
        <v>8.5</v>
      </c>
      <c r="S10" s="11">
        <v>200</v>
      </c>
      <c r="T10" s="11">
        <v>875000</v>
      </c>
      <c r="U10" s="11">
        <v>5500000</v>
      </c>
      <c r="V10" s="15" t="s">
        <v>74</v>
      </c>
      <c r="W10" s="11">
        <v>3.452655</v>
      </c>
      <c r="X10" s="11">
        <v>-75.471118000000004</v>
      </c>
      <c r="Y10" s="11">
        <v>2</v>
      </c>
      <c r="Z10" s="13">
        <v>44524</v>
      </c>
      <c r="AA10" s="11">
        <v>0</v>
      </c>
      <c r="AB10" s="11">
        <v>3203135121</v>
      </c>
      <c r="AC10" s="11" t="s">
        <v>77</v>
      </c>
      <c r="AD10" s="11">
        <v>185000000</v>
      </c>
      <c r="AE10" s="11">
        <v>2</v>
      </c>
      <c r="AF10" s="11">
        <v>2</v>
      </c>
      <c r="AG10" s="11">
        <v>4</v>
      </c>
      <c r="AH10" s="11" t="s">
        <v>75</v>
      </c>
      <c r="AI10" s="14"/>
    </row>
    <row r="11" spans="1:35" ht="409.5">
      <c r="A11" s="8" t="s">
        <v>94</v>
      </c>
      <c r="B11" s="8" t="s">
        <v>49</v>
      </c>
      <c r="C11" s="9">
        <v>7.3168000200000003E+29</v>
      </c>
      <c r="D11" s="18">
        <v>7.3168000200530002E+19</v>
      </c>
      <c r="E11" s="8" t="s">
        <v>95</v>
      </c>
      <c r="F11" s="11">
        <v>0</v>
      </c>
      <c r="G11" s="17" t="s">
        <v>43</v>
      </c>
      <c r="H11" s="11" t="s">
        <v>70</v>
      </c>
      <c r="I11" s="11" t="s">
        <v>71</v>
      </c>
      <c r="J11" s="11">
        <v>3</v>
      </c>
      <c r="K11" s="11" t="s">
        <v>72</v>
      </c>
      <c r="L11" s="15" t="s">
        <v>73</v>
      </c>
      <c r="M11" s="11">
        <v>0</v>
      </c>
      <c r="N11" s="11">
        <v>250000000</v>
      </c>
      <c r="O11" s="11">
        <f>1-(P11/N11)</f>
        <v>7.999999999999996E-2</v>
      </c>
      <c r="P11" s="11">
        <v>230000000</v>
      </c>
      <c r="Q11" s="11">
        <v>2000</v>
      </c>
      <c r="R11" s="11">
        <v>8.5</v>
      </c>
      <c r="S11" s="11">
        <v>200</v>
      </c>
      <c r="T11" s="11">
        <v>875000</v>
      </c>
      <c r="U11" s="11">
        <v>5500000</v>
      </c>
      <c r="V11" s="15" t="s">
        <v>74</v>
      </c>
      <c r="W11" s="11">
        <v>3.452655</v>
      </c>
      <c r="X11" s="11">
        <v>-75.471118000000004</v>
      </c>
      <c r="Y11" s="11">
        <v>2</v>
      </c>
      <c r="Z11" s="13">
        <v>44524</v>
      </c>
      <c r="AA11" s="11">
        <v>0</v>
      </c>
      <c r="AB11" s="11">
        <v>3203135121</v>
      </c>
      <c r="AC11" s="11" t="s">
        <v>77</v>
      </c>
      <c r="AD11" s="11">
        <v>185000000</v>
      </c>
      <c r="AE11" s="11">
        <v>2</v>
      </c>
      <c r="AF11" s="11">
        <v>2</v>
      </c>
      <c r="AG11" s="11">
        <v>4</v>
      </c>
      <c r="AH11" s="11" t="s">
        <v>75</v>
      </c>
      <c r="AI11" s="14"/>
    </row>
    <row r="12" spans="1:35" ht="409.5">
      <c r="A12" s="8" t="s">
        <v>96</v>
      </c>
      <c r="B12" s="8" t="s">
        <v>49</v>
      </c>
      <c r="C12" s="9">
        <v>7.3168000200000003E+29</v>
      </c>
      <c r="D12" s="18">
        <v>7.3168000200530002E+19</v>
      </c>
      <c r="E12" s="8" t="s">
        <v>97</v>
      </c>
      <c r="F12" s="11">
        <v>0</v>
      </c>
      <c r="G12" s="17" t="s">
        <v>43</v>
      </c>
      <c r="H12" s="11" t="s">
        <v>70</v>
      </c>
      <c r="I12" s="11" t="s">
        <v>71</v>
      </c>
      <c r="J12" s="11">
        <v>3</v>
      </c>
      <c r="K12" s="11" t="s">
        <v>72</v>
      </c>
      <c r="L12" s="15" t="s">
        <v>73</v>
      </c>
      <c r="M12" s="11">
        <v>0</v>
      </c>
      <c r="N12" s="11">
        <v>250000000</v>
      </c>
      <c r="O12" s="11">
        <f>1-(P12/N12)</f>
        <v>7.999999999999996E-2</v>
      </c>
      <c r="P12" s="11">
        <v>230000000</v>
      </c>
      <c r="Q12" s="11">
        <v>2000</v>
      </c>
      <c r="R12" s="11">
        <v>8.5</v>
      </c>
      <c r="S12" s="11">
        <v>200</v>
      </c>
      <c r="T12" s="11">
        <v>875000</v>
      </c>
      <c r="U12" s="11">
        <v>5500000</v>
      </c>
      <c r="V12" s="15" t="s">
        <v>74</v>
      </c>
      <c r="W12" s="11">
        <v>3.452655</v>
      </c>
      <c r="X12" s="11">
        <v>-75.471118000000004</v>
      </c>
      <c r="Y12" s="11">
        <v>2</v>
      </c>
      <c r="Z12" s="13">
        <v>44524</v>
      </c>
      <c r="AA12" s="11">
        <v>0</v>
      </c>
      <c r="AB12" s="11">
        <v>3203135121</v>
      </c>
      <c r="AC12" s="11" t="s">
        <v>77</v>
      </c>
      <c r="AD12" s="11">
        <v>185000000</v>
      </c>
      <c r="AE12" s="11">
        <v>2</v>
      </c>
      <c r="AF12" s="11">
        <v>2</v>
      </c>
      <c r="AG12" s="11">
        <v>4</v>
      </c>
      <c r="AH12" s="11" t="s">
        <v>75</v>
      </c>
      <c r="AI12" s="14"/>
    </row>
    <row r="13" spans="1:35" ht="409.5">
      <c r="A13" s="8" t="s">
        <v>98</v>
      </c>
      <c r="B13" s="8" t="s">
        <v>49</v>
      </c>
      <c r="C13" s="9">
        <v>7.3168000200000003E+29</v>
      </c>
      <c r="D13" s="18">
        <v>7.3168000200530002E+19</v>
      </c>
      <c r="E13" s="8" t="s">
        <v>99</v>
      </c>
      <c r="F13" s="11">
        <v>0</v>
      </c>
      <c r="G13" s="17" t="s">
        <v>43</v>
      </c>
      <c r="H13" s="11" t="s">
        <v>70</v>
      </c>
      <c r="I13" s="11" t="s">
        <v>71</v>
      </c>
      <c r="J13" s="11">
        <v>3</v>
      </c>
      <c r="K13" s="11" t="s">
        <v>72</v>
      </c>
      <c r="L13" s="15" t="s">
        <v>73</v>
      </c>
      <c r="M13" s="11">
        <v>0</v>
      </c>
      <c r="N13" s="11">
        <v>250000000</v>
      </c>
      <c r="O13" s="11">
        <f>1-(P13/N13)</f>
        <v>7.999999999999996E-2</v>
      </c>
      <c r="P13" s="11">
        <v>230000000</v>
      </c>
      <c r="Q13" s="11">
        <v>2000</v>
      </c>
      <c r="R13" s="11">
        <v>8.5</v>
      </c>
      <c r="S13" s="11">
        <v>200</v>
      </c>
      <c r="T13" s="11">
        <v>875000</v>
      </c>
      <c r="U13" s="11">
        <v>5500000</v>
      </c>
      <c r="V13" s="15" t="s">
        <v>74</v>
      </c>
      <c r="W13" s="11">
        <v>3.452655</v>
      </c>
      <c r="X13" s="11">
        <v>-75.471118000000004</v>
      </c>
      <c r="Y13" s="11">
        <v>2</v>
      </c>
      <c r="Z13" s="13">
        <v>44524</v>
      </c>
      <c r="AA13" s="11">
        <v>0</v>
      </c>
      <c r="AB13" s="11">
        <v>3203135121</v>
      </c>
      <c r="AC13" s="11" t="s">
        <v>77</v>
      </c>
      <c r="AD13" s="11">
        <v>185000000</v>
      </c>
      <c r="AE13" s="11">
        <v>2</v>
      </c>
      <c r="AF13" s="11">
        <v>2</v>
      </c>
      <c r="AG13" s="11">
        <v>4</v>
      </c>
      <c r="AH13" s="11" t="s">
        <v>75</v>
      </c>
      <c r="AI13" s="14"/>
    </row>
    <row r="14" spans="1:35" ht="409.5">
      <c r="A14" s="8" t="s">
        <v>100</v>
      </c>
      <c r="B14" s="8" t="s">
        <v>49</v>
      </c>
      <c r="C14" s="9">
        <v>7.3168000200000003E+29</v>
      </c>
      <c r="D14" s="18">
        <v>7.3168000200530002E+19</v>
      </c>
      <c r="E14" s="8" t="s">
        <v>81</v>
      </c>
      <c r="F14" s="11">
        <v>0</v>
      </c>
      <c r="G14" s="17" t="s">
        <v>43</v>
      </c>
      <c r="H14" s="11" t="s">
        <v>70</v>
      </c>
      <c r="I14" s="11" t="s">
        <v>71</v>
      </c>
      <c r="J14" s="11">
        <v>3</v>
      </c>
      <c r="K14" s="11" t="s">
        <v>72</v>
      </c>
      <c r="L14" s="15" t="s">
        <v>73</v>
      </c>
      <c r="M14" s="11">
        <v>0</v>
      </c>
      <c r="N14" s="11">
        <v>250000000</v>
      </c>
      <c r="O14" s="11">
        <f>1-(P14/N14)</f>
        <v>7.999999999999996E-2</v>
      </c>
      <c r="P14" s="11">
        <v>230000000</v>
      </c>
      <c r="Q14" s="11">
        <v>2000</v>
      </c>
      <c r="R14" s="11">
        <v>8.5</v>
      </c>
      <c r="S14" s="11">
        <v>200</v>
      </c>
      <c r="T14" s="11">
        <v>875000</v>
      </c>
      <c r="U14" s="11">
        <v>5500000</v>
      </c>
      <c r="V14" s="15" t="s">
        <v>74</v>
      </c>
      <c r="W14" s="11">
        <v>3.452655</v>
      </c>
      <c r="X14" s="11">
        <v>-75.471118000000004</v>
      </c>
      <c r="Y14" s="11">
        <v>2</v>
      </c>
      <c r="Z14" s="13">
        <v>44524</v>
      </c>
      <c r="AA14" s="11">
        <v>0</v>
      </c>
      <c r="AB14" s="11">
        <v>3203135121</v>
      </c>
      <c r="AC14" s="11" t="s">
        <v>77</v>
      </c>
      <c r="AD14" s="11">
        <v>185000000</v>
      </c>
      <c r="AE14" s="11">
        <v>2</v>
      </c>
      <c r="AF14" s="11">
        <v>2</v>
      </c>
      <c r="AG14" s="11">
        <v>4</v>
      </c>
      <c r="AH14" s="11" t="s">
        <v>75</v>
      </c>
      <c r="AI14" s="14"/>
    </row>
    <row r="15" spans="1:35" ht="409.5">
      <c r="A15" s="8" t="s">
        <v>101</v>
      </c>
      <c r="B15" s="8" t="s">
        <v>49</v>
      </c>
      <c r="C15" s="9">
        <v>7.3168000200000003E+29</v>
      </c>
      <c r="D15" s="18">
        <v>7.3168000200530002E+19</v>
      </c>
      <c r="E15" s="8" t="s">
        <v>83</v>
      </c>
      <c r="F15" s="11">
        <v>0</v>
      </c>
      <c r="G15" s="17" t="s">
        <v>43</v>
      </c>
      <c r="H15" s="11" t="s">
        <v>70</v>
      </c>
      <c r="I15" s="11" t="s">
        <v>71</v>
      </c>
      <c r="J15" s="11">
        <v>3</v>
      </c>
      <c r="K15" s="11" t="s">
        <v>72</v>
      </c>
      <c r="L15" s="15" t="s">
        <v>73</v>
      </c>
      <c r="M15" s="11">
        <v>0</v>
      </c>
      <c r="N15" s="11">
        <v>250000000</v>
      </c>
      <c r="O15" s="11">
        <f>1-(P15/N15)</f>
        <v>7.999999999999996E-2</v>
      </c>
      <c r="P15" s="11">
        <v>230000000</v>
      </c>
      <c r="Q15" s="11">
        <v>2000</v>
      </c>
      <c r="R15" s="11">
        <v>8.5</v>
      </c>
      <c r="S15" s="11">
        <v>200</v>
      </c>
      <c r="T15" s="11">
        <v>875000</v>
      </c>
      <c r="U15" s="11">
        <v>5500000</v>
      </c>
      <c r="V15" s="15" t="s">
        <v>74</v>
      </c>
      <c r="W15" s="11">
        <v>3.452655</v>
      </c>
      <c r="X15" s="11">
        <v>-75.471118000000004</v>
      </c>
      <c r="Y15" s="11">
        <v>2</v>
      </c>
      <c r="Z15" s="13">
        <v>44524</v>
      </c>
      <c r="AA15" s="11">
        <v>0</v>
      </c>
      <c r="AB15" s="11">
        <v>3203135121</v>
      </c>
      <c r="AC15" s="11" t="s">
        <v>77</v>
      </c>
      <c r="AD15" s="11">
        <v>185000000</v>
      </c>
      <c r="AE15" s="11">
        <v>2</v>
      </c>
      <c r="AF15" s="11">
        <v>2</v>
      </c>
      <c r="AG15" s="11">
        <v>4</v>
      </c>
      <c r="AH15" s="11" t="s">
        <v>75</v>
      </c>
      <c r="AI15" s="14"/>
    </row>
    <row r="16" spans="1:35">
      <c r="A16" s="11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11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11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11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11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11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11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11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11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1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11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11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11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11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11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11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11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11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11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11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11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11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11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11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11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11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11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11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11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11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11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11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11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11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11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11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11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11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11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11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11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11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11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11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11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11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11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11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11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11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11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11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11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11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11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11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11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11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11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11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11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11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11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11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11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11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11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11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11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11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11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11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11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11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11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11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11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11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11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11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11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11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11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11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11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11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11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11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11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11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11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11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11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11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11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11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11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11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11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11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11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11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11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11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11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11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11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11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11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11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11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11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11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11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11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11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11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11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11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11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11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11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11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11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11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11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11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11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11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11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11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11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11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11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11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11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11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11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11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11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11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11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11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11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11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11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11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11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11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11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11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11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11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11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11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11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11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11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11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11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11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11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11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11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11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11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11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11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11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11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11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11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11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11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11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11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11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11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11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11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11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11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11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11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11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11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11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11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11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11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11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11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11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11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11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11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11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11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11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11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11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11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11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11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11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11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11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11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11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11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11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11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11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11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11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11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11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11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11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11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11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11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11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11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11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11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11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11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11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11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11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11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11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11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11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11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11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11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11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11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11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11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11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11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11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11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11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11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11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11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11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11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11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11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11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11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11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11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11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11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11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11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11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11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11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11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11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11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11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11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11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11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11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11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11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11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11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11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11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11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11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11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11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11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11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11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11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11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11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11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11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11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11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11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11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11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11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11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11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11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11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11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11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11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11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11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11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11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11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11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11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11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11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11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11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11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11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11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11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11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11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11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11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11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11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11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11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11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11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11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11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11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11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11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11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11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11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11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11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11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11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11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11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11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11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11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11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11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11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11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11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11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11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11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11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11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11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11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11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11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11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11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11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11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11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11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11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11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11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11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11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11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11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11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11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11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11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11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11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11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11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11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11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11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11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11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11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11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11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11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11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11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11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11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11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11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11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11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11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11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11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11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11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11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11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11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11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11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11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11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11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11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11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11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11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11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11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11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11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11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11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11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11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11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11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11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11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11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11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11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11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11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11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11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11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11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11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11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11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11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11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11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11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11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11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11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11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11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11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11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11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11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11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11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11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11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11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11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11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11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11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11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11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11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11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11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11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11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11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11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11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11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11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11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11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11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11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11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11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11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11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11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11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11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11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11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11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11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11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11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11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11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11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11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11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11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11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11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11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11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11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11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11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11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11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11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11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11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11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11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11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11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11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11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11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11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11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11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11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11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11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11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11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11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11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11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11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11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11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11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11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11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11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11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11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11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11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11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11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11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11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11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11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11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11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11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11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11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11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11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11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11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11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11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11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11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11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11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11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11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11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11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11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11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11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11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11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11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11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11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11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11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11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11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11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11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11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11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11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11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11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11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11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11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11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11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11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11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11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11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11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11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11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11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11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11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11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11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11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11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11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11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11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11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11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11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11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11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11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11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11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11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11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11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11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11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11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11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11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11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11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11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11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11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11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11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11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11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11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11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11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11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11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11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11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11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11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11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11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11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11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11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11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11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11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11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11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11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11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11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11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11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11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11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11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11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11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11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11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11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11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11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11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11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11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11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11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11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11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11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11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11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11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11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11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11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11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11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11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11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11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11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11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11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11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11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11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11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11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11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11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11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11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11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11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11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11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11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11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11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11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11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11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11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11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11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11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11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11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11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11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11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11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11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11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11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11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11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11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11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11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11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11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11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11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11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11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11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11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11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11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11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11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11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11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11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11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11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11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11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11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11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11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11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11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11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11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11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11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11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11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11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11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11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11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11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11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11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11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11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11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11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11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11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11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11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11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11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11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11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11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11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11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11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11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11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11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11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11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11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11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11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11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11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11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11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11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11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11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11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11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11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11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11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11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11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11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11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11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11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11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11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11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11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11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11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11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11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11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11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11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11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11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11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11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11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11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11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11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11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11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11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11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11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11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11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11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11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11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11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11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11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11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11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11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11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11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11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11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11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11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11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11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11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11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11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11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11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11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11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11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11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11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11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11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11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11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11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11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11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11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11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11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11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11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11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11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11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11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11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11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11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11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11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11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11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11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11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11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11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11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11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11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11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11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11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11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11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11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11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11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11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11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11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11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11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11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11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11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11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11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11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11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11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11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11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11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11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11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11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11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11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11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11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11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11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11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11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11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11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11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11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11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11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11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11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11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11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11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11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11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11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11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11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11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11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11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11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11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11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11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11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11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11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11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11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11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11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11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11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11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11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11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11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11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11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11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11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11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11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11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11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11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11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11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11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11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11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11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11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11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11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11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11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11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11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11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11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11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11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11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11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11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11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11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11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11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11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11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11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11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11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11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11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11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11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11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11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11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11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11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11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11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11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11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11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11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11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11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11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11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11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11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11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11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11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11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11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11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11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11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11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11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11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11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11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11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11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11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11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11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11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11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11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11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11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11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11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11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11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11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11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11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11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11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11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11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11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11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11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11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11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11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11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11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11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11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11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11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11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11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11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11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11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11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11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11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11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11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11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11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11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11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11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11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11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11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11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2022-02-11T19:20:22Z</dcterms:modified>
</cp:coreProperties>
</file>