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/>
  </bookViews>
  <sheets>
    <sheet name="PH" sheetId="1" r:id="rId1"/>
    <sheet name="NPH" sheetId="2" r:id="rId2"/>
    <sheet name="RURAL" sheetId="3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1" l="1"/>
  <c r="N11" i="2"/>
  <c r="O8" i="3" l="1"/>
  <c r="O7" i="3"/>
  <c r="N10" i="2"/>
  <c r="O9" i="1"/>
  <c r="O8" i="1"/>
  <c r="N9" i="2"/>
  <c r="N8" i="2"/>
  <c r="N7" i="2"/>
  <c r="N6" i="2" l="1"/>
  <c r="O7" i="1"/>
  <c r="N5" i="2"/>
  <c r="O6" i="1"/>
  <c r="O6" i="3"/>
  <c r="O5" i="3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<sst xmlns="http://schemas.openxmlformats.org/spreadsheetml/2006/main" count="428" uniqueCount="98">
  <si>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</si>
  <si>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</si>
  <si>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</si>
  <si>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</si>
  <si>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</si>
  <si>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</si>
  <si>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</si>
  <si>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</si>
  <si>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</si>
  <si>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</si>
  <si>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</si>
  <si>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</si>
  <si>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</si>
  <si>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</si>
  <si>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</si>
  <si>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</si>
  <si>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</si>
  <si>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</si>
  <si>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</si>
  <si>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</si>
  <si>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</si>
  <si>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</si>
  <si>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</si>
  <si>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</si>
  <si>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</si>
  <si>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</si>
  <si>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</si>
  <si>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</si>
  <si>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</si>
  <si>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</si>
  <si>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</si>
  <si>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</si>
  <si>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</si>
  <si>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</si>
  <si>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</si>
  <si>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</si>
  <si>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</si>
  <si>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</si>
  <si>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</si>
  <si>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</si>
  <si>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</si>
  <si>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</si>
  <si>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</si>
  <si>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</si>
  <si>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</si>
  <si>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</si>
  <si>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</si>
  <si>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</si>
  <si>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</si>
  <si>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</si>
  <si>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</si>
  <si>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</si>
  <si>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</si>
  <si>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</si>
  <si>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</si>
  <si>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</si>
  <si>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</si>
  <si>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</si>
  <si>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</si>
  <si>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</si>
  <si>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</si>
  <si>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</si>
  <si>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</si>
  <si>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</si>
  <si>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</si>
  <si>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</si>
  <si>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</si>
  <si>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</si>
  <si>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</si>
  <si>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</si>
  <si>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</si>
  <si>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</si>
  <si>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</si>
  <si>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</si>
  <si>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</si>
  <si>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</si>
  <si>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</si>
  <si>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</si>
  <si>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</si>
  <si>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</si>
  <si>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</si>
  <si>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</si>
  <si>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</si>
  <si>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</si>
  <si>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</si>
  <si>
    <t>28</t>
  </si>
  <si>
    <t>32</t>
  </si>
  <si>
    <t>67</t>
  </si>
  <si>
    <t>33</t>
  </si>
  <si>
    <t>69</t>
  </si>
  <si>
    <t>70</t>
  </si>
  <si>
    <t>71</t>
  </si>
  <si>
    <t>34</t>
  </si>
  <si>
    <t>35</t>
  </si>
  <si>
    <t>72</t>
  </si>
  <si>
    <t>29</t>
  </si>
  <si>
    <t>73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</si>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</sst>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abSelected="1" topLeftCell="A10" workbookViewId="0">
      <selection activeCell="A10" sqref="A10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 t="shared" ref="O3:O10" si="0"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 t="shared" si="0"/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 t="shared" si="0"/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86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 t="shared" si="0"/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 ht="324">
      <c r="A7" s="8" t="s">
        <v>88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46</v>
      </c>
      <c r="L7" s="11">
        <v>0</v>
      </c>
      <c r="M7" s="11">
        <v>120000</v>
      </c>
      <c r="N7" s="11">
        <v>40000000</v>
      </c>
      <c r="O7" s="11">
        <f t="shared" si="0"/>
        <v>5.5000000000000049E-2</v>
      </c>
      <c r="P7" s="11">
        <v>37800000</v>
      </c>
      <c r="Q7" s="11">
        <v>1987</v>
      </c>
      <c r="R7" s="11">
        <v>12</v>
      </c>
      <c r="S7" s="11">
        <v>3</v>
      </c>
      <c r="T7" s="11">
        <v>0</v>
      </c>
      <c r="U7" s="11">
        <v>85</v>
      </c>
      <c r="V7" s="11">
        <v>1</v>
      </c>
      <c r="W7" s="11">
        <v>1</v>
      </c>
      <c r="X7" s="11">
        <v>1</v>
      </c>
      <c r="Y7" s="11">
        <v>160000</v>
      </c>
      <c r="Z7" s="11">
        <v>700000</v>
      </c>
      <c r="AA7" s="12" t="s">
        <v>47</v>
      </c>
      <c r="AB7" s="11">
        <v>4.6857309999999996</v>
      </c>
      <c r="AC7" s="11">
        <v>-74.084351999999996</v>
      </c>
      <c r="AD7" s="11">
        <v>2</v>
      </c>
      <c r="AE7" s="13">
        <v>44524</v>
      </c>
      <c r="AF7" s="11">
        <v>1</v>
      </c>
      <c r="AG7" s="11">
        <v>314567874</v>
      </c>
      <c r="AH7" s="11" t="s">
        <v>48</v>
      </c>
      <c r="AI7" s="11">
        <v>0.12</v>
      </c>
      <c r="AJ7" s="11">
        <v>28000000</v>
      </c>
      <c r="AK7" s="11">
        <v>7</v>
      </c>
      <c r="AL7" s="11">
        <v>2</v>
      </c>
      <c r="AM7" s="11">
        <v>11</v>
      </c>
    </row>
    <row r="8" spans="1:39" ht="324">
      <c r="A8" s="8" t="s">
        <v>92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46</v>
      </c>
      <c r="L8" s="11">
        <v>0</v>
      </c>
      <c r="M8" s="11">
        <v>120000</v>
      </c>
      <c r="N8" s="11">
        <v>40000000</v>
      </c>
      <c r="O8" s="11">
        <f t="shared" si="0"/>
        <v>5.5000000000000049E-2</v>
      </c>
      <c r="P8" s="11">
        <v>37800000</v>
      </c>
      <c r="Q8" s="11">
        <v>1987</v>
      </c>
      <c r="R8" s="11">
        <v>12</v>
      </c>
      <c r="S8" s="11">
        <v>3</v>
      </c>
      <c r="T8" s="11">
        <v>0</v>
      </c>
      <c r="U8" s="11">
        <v>85</v>
      </c>
      <c r="V8" s="11">
        <v>1</v>
      </c>
      <c r="W8" s="11">
        <v>1</v>
      </c>
      <c r="X8" s="11">
        <v>1</v>
      </c>
      <c r="Y8" s="11">
        <v>160000</v>
      </c>
      <c r="Z8" s="11">
        <v>700000</v>
      </c>
      <c r="AA8" s="12" t="s">
        <v>47</v>
      </c>
      <c r="AB8" s="11">
        <v>4.6857309999999996</v>
      </c>
      <c r="AC8" s="11">
        <v>-74.084351999999996</v>
      </c>
      <c r="AD8" s="11">
        <v>2</v>
      </c>
      <c r="AE8" s="13">
        <v>44524</v>
      </c>
      <c r="AF8" s="11">
        <v>1</v>
      </c>
      <c r="AG8" s="11">
        <v>314567874</v>
      </c>
      <c r="AH8" s="11" t="s">
        <v>48</v>
      </c>
      <c r="AI8" s="11">
        <v>0.12</v>
      </c>
      <c r="AJ8" s="11">
        <v>28000000</v>
      </c>
      <c r="AK8" s="11">
        <v>7</v>
      </c>
      <c r="AL8" s="11">
        <v>2</v>
      </c>
      <c r="AM8" s="11">
        <v>11</v>
      </c>
    </row>
    <row r="9" spans="1:39" ht="324">
      <c r="A9" s="8" t="s">
        <v>93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46</v>
      </c>
      <c r="L9" s="11">
        <v>0</v>
      </c>
      <c r="M9" s="11">
        <v>120000</v>
      </c>
      <c r="N9" s="11">
        <v>40000000</v>
      </c>
      <c r="O9" s="11">
        <f t="shared" si="0"/>
        <v>5.5000000000000049E-2</v>
      </c>
      <c r="P9" s="11">
        <v>37800000</v>
      </c>
      <c r="Q9" s="11">
        <v>1987</v>
      </c>
      <c r="R9" s="11">
        <v>12</v>
      </c>
      <c r="S9" s="11">
        <v>3</v>
      </c>
      <c r="T9" s="11">
        <v>0</v>
      </c>
      <c r="U9" s="11">
        <v>85</v>
      </c>
      <c r="V9" s="11">
        <v>1</v>
      </c>
      <c r="W9" s="11">
        <v>1</v>
      </c>
      <c r="X9" s="11">
        <v>1</v>
      </c>
      <c r="Y9" s="11">
        <v>160000</v>
      </c>
      <c r="Z9" s="11">
        <v>700000</v>
      </c>
      <c r="AA9" s="12" t="s">
        <v>47</v>
      </c>
      <c r="AB9" s="11">
        <v>4.6857309999999996</v>
      </c>
      <c r="AC9" s="11">
        <v>-74.084351999999996</v>
      </c>
      <c r="AD9" s="11">
        <v>2</v>
      </c>
      <c r="AE9" s="13">
        <v>44524</v>
      </c>
      <c r="AF9" s="11">
        <v>1</v>
      </c>
      <c r="AG9" s="11">
        <v>314567874</v>
      </c>
      <c r="AH9" s="11" t="s">
        <v>48</v>
      </c>
      <c r="AI9" s="11">
        <v>0.12</v>
      </c>
      <c r="AJ9" s="11">
        <v>28000000</v>
      </c>
      <c r="AK9" s="11">
        <v>7</v>
      </c>
      <c r="AL9" s="11">
        <v>2</v>
      </c>
      <c r="AM9" s="11">
        <v>11</v>
      </c>
    </row>
    <row r="10" spans="1:39" ht="324">
      <c r="A10" s="8" t="s">
        <v>97</v>
      </c>
      <c r="B10" s="8" t="s">
        <v>49</v>
      </c>
      <c r="C10" s="9">
        <v>1.0100000005001499E+23</v>
      </c>
      <c r="D10" s="10">
        <v>10100050015000</v>
      </c>
      <c r="E10" s="8" t="s">
        <v>80</v>
      </c>
      <c r="F10" s="11">
        <v>0</v>
      </c>
      <c r="G10" s="11" t="s">
        <v>43</v>
      </c>
      <c r="H10" s="11" t="s">
        <v>44</v>
      </c>
      <c r="I10" s="11" t="s">
        <v>45</v>
      </c>
      <c r="J10" s="11">
        <v>3</v>
      </c>
      <c r="K10" s="11" t="s">
        <v>46</v>
      </c>
      <c r="L10" s="11">
        <v>0</v>
      </c>
      <c r="M10" s="11">
        <v>120000</v>
      </c>
      <c r="N10" s="11">
        <v>40000000</v>
      </c>
      <c r="O10" s="11">
        <f t="shared" si="0"/>
        <v>5.5000000000000049E-2</v>
      </c>
      <c r="P10" s="11">
        <v>37800000</v>
      </c>
      <c r="Q10" s="11">
        <v>1987</v>
      </c>
      <c r="R10" s="11">
        <v>12</v>
      </c>
      <c r="S10" s="11">
        <v>3</v>
      </c>
      <c r="T10" s="11">
        <v>0</v>
      </c>
      <c r="U10" s="11">
        <v>85</v>
      </c>
      <c r="V10" s="11">
        <v>1</v>
      </c>
      <c r="W10" s="11">
        <v>1</v>
      </c>
      <c r="X10" s="11">
        <v>1</v>
      </c>
      <c r="Y10" s="11">
        <v>160000</v>
      </c>
      <c r="Z10" s="11">
        <v>700000</v>
      </c>
      <c r="AA10" s="12" t="s">
        <v>47</v>
      </c>
      <c r="AB10" s="11">
        <v>4.6857309999999996</v>
      </c>
      <c r="AC10" s="11">
        <v>-74.084351999999996</v>
      </c>
      <c r="AD10" s="11">
        <v>2</v>
      </c>
      <c r="AE10" s="13">
        <v>44524</v>
      </c>
      <c r="AF10" s="11">
        <v>1</v>
      </c>
      <c r="AG10" s="11">
        <v>314567874</v>
      </c>
      <c r="AH10" s="11" t="s">
        <v>48</v>
      </c>
      <c r="AI10" s="11">
        <v>0.12</v>
      </c>
      <c r="AJ10" s="11">
        <v>28000000</v>
      </c>
      <c r="AK10" s="11">
        <v>7</v>
      </c>
      <c r="AL10" s="11">
        <v>2</v>
      </c>
      <c r="AM10" s="11">
        <v>11</v>
      </c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opLeftCell="A9" workbookViewId="0">
      <selection activeCell="A11" sqref="A11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 t="shared" ref="N3:N11" si="0"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 t="shared" si="0"/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87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 t="shared" si="0"/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 ht="180">
      <c r="A6" s="8" t="s">
        <v>49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57</v>
      </c>
      <c r="L6" s="11">
        <v>0</v>
      </c>
      <c r="M6" s="11">
        <v>470000000</v>
      </c>
      <c r="N6" s="11">
        <f t="shared" si="0"/>
        <v>4.2553191489361653E-2</v>
      </c>
      <c r="O6" s="11">
        <v>450000000</v>
      </c>
      <c r="P6" s="11">
        <v>1990</v>
      </c>
      <c r="Q6" s="11">
        <v>182</v>
      </c>
      <c r="R6" s="11">
        <v>250</v>
      </c>
      <c r="S6" s="11">
        <v>832000</v>
      </c>
      <c r="T6" s="11">
        <v>1250000</v>
      </c>
      <c r="U6" s="15" t="s">
        <v>58</v>
      </c>
      <c r="V6" s="11">
        <v>4.6885289999999999</v>
      </c>
      <c r="W6" s="11">
        <v>-74.082549999999998</v>
      </c>
      <c r="X6" s="11">
        <v>2</v>
      </c>
      <c r="Y6" s="13">
        <v>44524</v>
      </c>
      <c r="Z6" s="11">
        <v>1</v>
      </c>
      <c r="AA6" s="11">
        <v>3192514878</v>
      </c>
      <c r="AB6" s="11" t="s">
        <v>59</v>
      </c>
      <c r="AC6" s="11">
        <v>320000000</v>
      </c>
      <c r="AD6" s="11">
        <v>7</v>
      </c>
      <c r="AE6" s="11">
        <v>2</v>
      </c>
      <c r="AF6" s="11">
        <v>6</v>
      </c>
    </row>
    <row r="7" spans="1:32" ht="180">
      <c r="A7" s="8" t="s">
        <v>89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57</v>
      </c>
      <c r="L7" s="11">
        <v>0</v>
      </c>
      <c r="M7" s="11">
        <v>470000000</v>
      </c>
      <c r="N7" s="11">
        <f t="shared" si="0"/>
        <v>4.2553191489361653E-2</v>
      </c>
      <c r="O7" s="11">
        <v>450000000</v>
      </c>
      <c r="P7" s="11">
        <v>1990</v>
      </c>
      <c r="Q7" s="11">
        <v>182</v>
      </c>
      <c r="R7" s="11">
        <v>250</v>
      </c>
      <c r="S7" s="11">
        <v>832000</v>
      </c>
      <c r="T7" s="11">
        <v>1250000</v>
      </c>
      <c r="U7" s="15" t="s">
        <v>58</v>
      </c>
      <c r="V7" s="11">
        <v>4.6885289999999999</v>
      </c>
      <c r="W7" s="11">
        <v>-74.082549999999998</v>
      </c>
      <c r="X7" s="11">
        <v>2</v>
      </c>
      <c r="Y7" s="13">
        <v>44524</v>
      </c>
      <c r="Z7" s="11">
        <v>1</v>
      </c>
      <c r="AA7" s="11">
        <v>3192514878</v>
      </c>
      <c r="AB7" s="11" t="s">
        <v>59</v>
      </c>
      <c r="AC7" s="11">
        <v>320000000</v>
      </c>
      <c r="AD7" s="11">
        <v>7</v>
      </c>
      <c r="AE7" s="11">
        <v>2</v>
      </c>
      <c r="AF7" s="11">
        <v>6</v>
      </c>
    </row>
    <row r="8" spans="1:32" ht="180">
      <c r="A8" s="8" t="s">
        <v>90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57</v>
      </c>
      <c r="L8" s="11">
        <v>0</v>
      </c>
      <c r="M8" s="11">
        <v>470000000</v>
      </c>
      <c r="N8" s="11">
        <f t="shared" si="0"/>
        <v>4.2553191489361653E-2</v>
      </c>
      <c r="O8" s="11">
        <v>450000000</v>
      </c>
      <c r="P8" s="11">
        <v>1990</v>
      </c>
      <c r="Q8" s="11">
        <v>182</v>
      </c>
      <c r="R8" s="11">
        <v>250</v>
      </c>
      <c r="S8" s="11">
        <v>832000</v>
      </c>
      <c r="T8" s="11">
        <v>1250000</v>
      </c>
      <c r="U8" s="15" t="s">
        <v>58</v>
      </c>
      <c r="V8" s="11">
        <v>4.6885289999999999</v>
      </c>
      <c r="W8" s="11">
        <v>-74.082549999999998</v>
      </c>
      <c r="X8" s="11">
        <v>2</v>
      </c>
      <c r="Y8" s="13">
        <v>44524</v>
      </c>
      <c r="Z8" s="11">
        <v>1</v>
      </c>
      <c r="AA8" s="11">
        <v>3192514878</v>
      </c>
      <c r="AB8" s="11" t="s">
        <v>59</v>
      </c>
      <c r="AC8" s="11">
        <v>320000000</v>
      </c>
      <c r="AD8" s="11">
        <v>7</v>
      </c>
      <c r="AE8" s="11">
        <v>2</v>
      </c>
      <c r="AF8" s="11">
        <v>6</v>
      </c>
    </row>
    <row r="9" spans="1:32" ht="180">
      <c r="A9" s="8" t="s">
        <v>91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57</v>
      </c>
      <c r="L9" s="11">
        <v>0</v>
      </c>
      <c r="M9" s="11">
        <v>470000000</v>
      </c>
      <c r="N9" s="11">
        <f t="shared" si="0"/>
        <v>4.2553191489361653E-2</v>
      </c>
      <c r="O9" s="11">
        <v>450000000</v>
      </c>
      <c r="P9" s="11">
        <v>1990</v>
      </c>
      <c r="Q9" s="11">
        <v>182</v>
      </c>
      <c r="R9" s="11">
        <v>250</v>
      </c>
      <c r="S9" s="11">
        <v>832000</v>
      </c>
      <c r="T9" s="11">
        <v>1250000</v>
      </c>
      <c r="U9" s="15" t="s">
        <v>58</v>
      </c>
      <c r="V9" s="11">
        <v>4.6885289999999999</v>
      </c>
      <c r="W9" s="11">
        <v>-74.082549999999998</v>
      </c>
      <c r="X9" s="11">
        <v>2</v>
      </c>
      <c r="Y9" s="13">
        <v>44524</v>
      </c>
      <c r="Z9" s="11">
        <v>1</v>
      </c>
      <c r="AA9" s="11">
        <v>3192514878</v>
      </c>
      <c r="AB9" s="11" t="s">
        <v>59</v>
      </c>
      <c r="AC9" s="11">
        <v>320000000</v>
      </c>
      <c r="AD9" s="11">
        <v>7</v>
      </c>
      <c r="AE9" s="11">
        <v>2</v>
      </c>
      <c r="AF9" s="11">
        <v>6</v>
      </c>
    </row>
    <row r="10" spans="1:32" ht="180">
      <c r="A10" s="8" t="s">
        <v>94</v>
      </c>
      <c r="B10" s="8" t="s">
        <v>49</v>
      </c>
      <c r="C10" s="9">
        <v>1.0100000005001499E+23</v>
      </c>
      <c r="D10" s="10">
        <v>10100050015000</v>
      </c>
      <c r="E10" s="8" t="s">
        <v>80</v>
      </c>
      <c r="F10" s="11">
        <v>0</v>
      </c>
      <c r="G10" s="11" t="s">
        <v>43</v>
      </c>
      <c r="H10" s="11" t="s">
        <v>44</v>
      </c>
      <c r="I10" s="11" t="s">
        <v>45</v>
      </c>
      <c r="J10" s="11">
        <v>3</v>
      </c>
      <c r="K10" s="11" t="s">
        <v>57</v>
      </c>
      <c r="L10" s="11">
        <v>0</v>
      </c>
      <c r="M10" s="11">
        <v>470000000</v>
      </c>
      <c r="N10" s="11">
        <f t="shared" si="0"/>
        <v>4.2553191489361653E-2</v>
      </c>
      <c r="O10" s="11">
        <v>450000000</v>
      </c>
      <c r="P10" s="11">
        <v>1990</v>
      </c>
      <c r="Q10" s="11">
        <v>182</v>
      </c>
      <c r="R10" s="11">
        <v>250</v>
      </c>
      <c r="S10" s="11">
        <v>832000</v>
      </c>
      <c r="T10" s="11">
        <v>1250000</v>
      </c>
      <c r="U10" s="15" t="s">
        <v>58</v>
      </c>
      <c r="V10" s="11">
        <v>4.6885289999999999</v>
      </c>
      <c r="W10" s="11">
        <v>-74.082549999999998</v>
      </c>
      <c r="X10" s="11">
        <v>2</v>
      </c>
      <c r="Y10" s="13">
        <v>44524</v>
      </c>
      <c r="Z10" s="11">
        <v>1</v>
      </c>
      <c r="AA10" s="11">
        <v>3192514878</v>
      </c>
      <c r="AB10" s="11" t="s">
        <v>59</v>
      </c>
      <c r="AC10" s="11">
        <v>320000000</v>
      </c>
      <c r="AD10" s="11">
        <v>7</v>
      </c>
      <c r="AE10" s="11">
        <v>2</v>
      </c>
      <c r="AF10" s="11">
        <v>6</v>
      </c>
    </row>
    <row r="11" spans="1:32" ht="180">
      <c r="A11" s="8" t="s">
        <v>96</v>
      </c>
      <c r="B11" s="8" t="s">
        <v>49</v>
      </c>
      <c r="C11" s="9">
        <v>1.0100000005001499E+23</v>
      </c>
      <c r="D11" s="10">
        <v>10100050015000</v>
      </c>
      <c r="E11" s="8" t="s">
        <v>80</v>
      </c>
      <c r="F11" s="11">
        <v>0</v>
      </c>
      <c r="G11" s="11" t="s">
        <v>43</v>
      </c>
      <c r="H11" s="11" t="s">
        <v>44</v>
      </c>
      <c r="I11" s="11" t="s">
        <v>45</v>
      </c>
      <c r="J11" s="11">
        <v>3</v>
      </c>
      <c r="K11" s="11" t="s">
        <v>57</v>
      </c>
      <c r="L11" s="11">
        <v>0</v>
      </c>
      <c r="M11" s="11">
        <v>470000000</v>
      </c>
      <c r="N11" s="11">
        <f t="shared" si="0"/>
        <v>4.2553191489361653E-2</v>
      </c>
      <c r="O11" s="11">
        <v>450000000</v>
      </c>
      <c r="P11" s="11">
        <v>1990</v>
      </c>
      <c r="Q11" s="11">
        <v>182</v>
      </c>
      <c r="R11" s="11">
        <v>250</v>
      </c>
      <c r="S11" s="11">
        <v>832000</v>
      </c>
      <c r="T11" s="11">
        <v>1250000</v>
      </c>
      <c r="U11" s="15" t="s">
        <v>58</v>
      </c>
      <c r="V11" s="11">
        <v>4.6885289999999999</v>
      </c>
      <c r="W11" s="11">
        <v>-74.082549999999998</v>
      </c>
      <c r="X11" s="11">
        <v>2</v>
      </c>
      <c r="Y11" s="13">
        <v>44524</v>
      </c>
      <c r="Z11" s="11">
        <v>1</v>
      </c>
      <c r="AA11" s="11">
        <v>3192514878</v>
      </c>
      <c r="AB11" s="11" t="s">
        <v>59</v>
      </c>
      <c r="AC11" s="11">
        <v>320000000</v>
      </c>
      <c r="AD11" s="11">
        <v>7</v>
      </c>
      <c r="AE11" s="11">
        <v>2</v>
      </c>
      <c r="AF11" s="11">
        <v>6</v>
      </c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topLeftCell="A8" workbookViewId="0">
      <selection activeCell="A8" sqref="A8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 t="shared" ref="O3:O8" si="0"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 t="shared" si="0"/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 t="shared" si="0"/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85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 t="shared" si="0"/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 ht="409.5">
      <c r="A7" s="8" t="s">
        <v>95</v>
      </c>
      <c r="B7" s="8" t="s">
        <v>49</v>
      </c>
      <c r="C7" s="9">
        <v>7.3168000200000003E+29</v>
      </c>
      <c r="D7" s="10">
        <v>7.3168000200530002E+19</v>
      </c>
      <c r="E7" s="8" t="s">
        <v>79</v>
      </c>
      <c r="F7" s="11">
        <v>0</v>
      </c>
      <c r="G7" s="11" t="s">
        <v>43</v>
      </c>
      <c r="H7" s="11" t="s">
        <v>70</v>
      </c>
      <c r="I7" s="11" t="s">
        <v>71</v>
      </c>
      <c r="J7" s="11">
        <v>3</v>
      </c>
      <c r="K7" s="11" t="s">
        <v>72</v>
      </c>
      <c r="L7" s="15" t="s">
        <v>73</v>
      </c>
      <c r="M7" s="11">
        <v>0</v>
      </c>
      <c r="N7" s="11">
        <v>250000000</v>
      </c>
      <c r="O7" s="11">
        <f t="shared" si="0"/>
        <v>7.999999999999996E-2</v>
      </c>
      <c r="P7" s="11">
        <v>230000000</v>
      </c>
      <c r="Q7" s="11">
        <v>2000</v>
      </c>
      <c r="R7" s="11">
        <v>8.5</v>
      </c>
      <c r="S7" s="11">
        <v>200</v>
      </c>
      <c r="T7" s="11">
        <v>875000</v>
      </c>
      <c r="U7" s="11">
        <v>5500000</v>
      </c>
      <c r="V7" s="15" t="s">
        <v>74</v>
      </c>
      <c r="W7" s="11">
        <v>3.452655</v>
      </c>
      <c r="X7" s="11">
        <v>-75.471118000000004</v>
      </c>
      <c r="Y7" s="11">
        <v>2</v>
      </c>
      <c r="Z7" s="13">
        <v>44524</v>
      </c>
      <c r="AA7" s="11">
        <v>0</v>
      </c>
      <c r="AB7" s="11">
        <v>3203135121</v>
      </c>
      <c r="AC7" s="11" t="s">
        <v>77</v>
      </c>
      <c r="AD7" s="11">
        <v>185000000</v>
      </c>
      <c r="AE7" s="11">
        <v>2</v>
      </c>
      <c r="AF7" s="11">
        <v>2</v>
      </c>
      <c r="AG7" s="11">
        <v>4</v>
      </c>
      <c r="AH7" s="11" t="s">
        <v>75</v>
      </c>
      <c r="AI7" s="14"/>
    </row>
    <row r="8" spans="1:35" ht="409.5">
      <c r="A8" s="8" t="s">
        <v>82</v>
      </c>
      <c r="B8" s="8" t="s">
        <v>49</v>
      </c>
      <c r="C8" s="9">
        <v>7.3168000200000003E+29</v>
      </c>
      <c r="D8" s="10">
        <v>7.3168000200530002E+19</v>
      </c>
      <c r="E8" s="8" t="s">
        <v>79</v>
      </c>
      <c r="F8" s="11">
        <v>0</v>
      </c>
      <c r="G8" s="11" t="s">
        <v>43</v>
      </c>
      <c r="H8" s="11" t="s">
        <v>70</v>
      </c>
      <c r="I8" s="11" t="s">
        <v>71</v>
      </c>
      <c r="J8" s="11">
        <v>3</v>
      </c>
      <c r="K8" s="11" t="s">
        <v>72</v>
      </c>
      <c r="L8" s="15" t="s">
        <v>73</v>
      </c>
      <c r="M8" s="11">
        <v>0</v>
      </c>
      <c r="N8" s="11">
        <v>250000000</v>
      </c>
      <c r="O8" s="11">
        <f t="shared" si="0"/>
        <v>7.999999999999996E-2</v>
      </c>
      <c r="P8" s="11">
        <v>230000000</v>
      </c>
      <c r="Q8" s="11">
        <v>2000</v>
      </c>
      <c r="R8" s="11">
        <v>8.5</v>
      </c>
      <c r="S8" s="11">
        <v>200</v>
      </c>
      <c r="T8" s="11">
        <v>875000</v>
      </c>
      <c r="U8" s="11">
        <v>5500000</v>
      </c>
      <c r="V8" s="15" t="s">
        <v>74</v>
      </c>
      <c r="W8" s="11">
        <v>3.452655</v>
      </c>
      <c r="X8" s="11">
        <v>-75.471118000000004</v>
      </c>
      <c r="Y8" s="11">
        <v>2</v>
      </c>
      <c r="Z8" s="13">
        <v>44524</v>
      </c>
      <c r="AA8" s="11">
        <v>0</v>
      </c>
      <c r="AB8" s="11">
        <v>3203135121</v>
      </c>
      <c r="AC8" s="11" t="s">
        <v>77</v>
      </c>
      <c r="AD8" s="11">
        <v>185000000</v>
      </c>
      <c r="AE8" s="11">
        <v>2</v>
      </c>
      <c r="AF8" s="11">
        <v>2</v>
      </c>
      <c r="AG8" s="11">
        <v>4</v>
      </c>
      <c r="AH8" s="11" t="s">
        <v>75</v>
      </c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2022-02-12T20:40:48Z</dcterms:modified>
</cp:coreProperties>
</file>