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17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1" l="1"/>
  <c r="N6" i="1" l="1"/>
  <c r="N5" i="1"/>
  <c r="N3" i="3"/>
  <c r="M4" i="2"/>
  <c r="M3" i="2"/>
  <c r="N4" i="1"/>
  <c r="N3" i="1"/>
</calcChain>
</file>

<file path=xl/sharedStrings.xml><?xml version="1.0" encoding="utf-8"?>
<sst xmlns="http://schemas.openxmlformats.org/spreadsheetml/2006/main" count="281" uniqueCount="80">
  <si>
    <t>ID_OFERTA_PH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</si>
  <si>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</si>
  <si>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</si>
  <si>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</si>
  <si>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</si>
  <si>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</si>
  <si>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</si>
  <si>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</si>
  <si>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</si>
  <si>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</si>
  <si>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</si>
  <si>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</si>
  <si>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</si>
  <si>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</si>
  <si>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</si>
  <si>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</si>
  <si>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</si>
  <si>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</si>
  <si>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</si>
  <si>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</si>
  <si>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</si>
  <si>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</si>
  <si>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</si>
  <si>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</si>
  <si>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</si>
  <si>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</si>
  <si>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</si>
  <si>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</si>
  <si>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</si>
  <si>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</si>
  <si>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</si>
  <si>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</si>
  <si>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</si>
  <si>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</si>
  <si>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</si>
  <si>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</si>
  <si>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</si>
  <si>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</si>
  <si>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</si>
  <si>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</si>
  <si>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</si>
  <si>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</si>
  <si>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</si>
  <si>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</si>
  <si>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</si>
  <si>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</si>
  <si>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</si>
  <si>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</si>
  <si>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200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</si>
  <si>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</si>
  <si>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</si>
  <si>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</si>
  <si>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</si>
  <si>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</si>
  <si>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</si>
  <si>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</si>
  <si>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string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</si>
  <si>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</si>
  <si>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</si>
  <si>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</si>
  <si>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</si>
  <si>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</si>
  <si>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</si>
  <si>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</si>
  <si>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</si>
  <si>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</si>
  <si>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</si>
  <si>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</si>
  <si>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</si>
  <si>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</si>
  <si>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</si>
  <si>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</si>
  <si>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</si>
  <si>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</si>
  <si>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</si>
  <si>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Carlos</t>
  </si>
  <si>
    <t>Cafe</t>
  </si>
  <si>
    <t>101000000050015000000000</t>
  </si>
  <si>
    <t>10100050015000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</si>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</sst>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0.000000"/>
    <numFmt numFmtId="165" formatCode="0.0000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6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" fontId="0" fillId="0" borderId="3" xfId="1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2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"/>
  <sheetViews>
    <sheetView tabSelected="1" workbookViewId="0">
      <selection activeCell="B3" sqref="B3"/>
    </sheetView>
  </sheetViews>
  <sheetFormatPr baseColWidth="10" defaultRowHeight="15"/>
  <cols>
    <col min="2" max="2" width="25.28515625" customWidth="1"/>
    <col min="3" max="3" width="15" bestFit="1" customWidth="1"/>
  </cols>
  <sheetData>
    <row r="1" spans="1:38" ht="61.5" thickTop="1" thickBo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7" t="s">
        <v>31</v>
      </c>
      <c r="AG1" s="4" t="s">
        <v>32</v>
      </c>
      <c r="AH1" s="6" t="s">
        <v>33</v>
      </c>
      <c r="AI1" s="6" t="s">
        <v>34</v>
      </c>
      <c r="AJ1" s="4" t="s">
        <v>35</v>
      </c>
      <c r="AK1" s="6" t="s">
        <v>36</v>
      </c>
      <c r="AL1" s="6" t="s">
        <v>37</v>
      </c>
    </row>
    <row r="2" spans="1:38" ht="15.75" thickTop="1">
      <c r="A2" s="8" t="s">
        <v>38</v>
      </c>
      <c r="B2" s="9" t="s">
        <v>38</v>
      </c>
      <c r="C2" s="9" t="s">
        <v>38</v>
      </c>
      <c r="D2" s="10" t="s">
        <v>38</v>
      </c>
      <c r="E2" s="11" t="s">
        <v>39</v>
      </c>
      <c r="F2" s="11" t="s">
        <v>38</v>
      </c>
      <c r="G2" s="11" t="s">
        <v>38</v>
      </c>
      <c r="H2" s="11" t="s">
        <v>38</v>
      </c>
      <c r="I2" s="11" t="s">
        <v>40</v>
      </c>
      <c r="J2" s="11" t="s">
        <v>38</v>
      </c>
      <c r="K2" s="12" t="s">
        <v>40</v>
      </c>
      <c r="L2" s="11" t="s">
        <v>40</v>
      </c>
      <c r="M2" s="12" t="s">
        <v>40</v>
      </c>
      <c r="N2" s="12" t="s">
        <v>40</v>
      </c>
      <c r="O2" s="12" t="s">
        <v>38</v>
      </c>
      <c r="P2" s="11" t="s">
        <v>40</v>
      </c>
      <c r="Q2" s="11" t="s">
        <v>40</v>
      </c>
      <c r="R2" s="11" t="s">
        <v>40</v>
      </c>
      <c r="S2" s="13" t="s">
        <v>40</v>
      </c>
      <c r="T2" s="11" t="s">
        <v>40</v>
      </c>
      <c r="U2" s="13" t="s">
        <v>40</v>
      </c>
      <c r="V2" s="13" t="s">
        <v>40</v>
      </c>
      <c r="W2" s="13" t="s">
        <v>40</v>
      </c>
      <c r="X2" s="13" t="s">
        <v>40</v>
      </c>
      <c r="Y2" s="13" t="s">
        <v>40</v>
      </c>
      <c r="Z2" s="11" t="s">
        <v>38</v>
      </c>
      <c r="AA2" s="11" t="s">
        <v>38</v>
      </c>
      <c r="AB2" s="11" t="s">
        <v>38</v>
      </c>
      <c r="AC2" s="11" t="s">
        <v>39</v>
      </c>
      <c r="AD2" s="11" t="s">
        <v>41</v>
      </c>
      <c r="AE2" s="11" t="s">
        <v>40</v>
      </c>
      <c r="AF2" s="11" t="s">
        <v>38</v>
      </c>
      <c r="AG2" s="11" t="s">
        <v>38</v>
      </c>
      <c r="AH2" s="13" t="s">
        <v>40</v>
      </c>
      <c r="AI2" s="13" t="s">
        <v>40</v>
      </c>
      <c r="AJ2" s="11" t="s">
        <v>39</v>
      </c>
      <c r="AK2" s="13" t="s">
        <v>39</v>
      </c>
      <c r="AL2" s="13" t="s">
        <v>39</v>
      </c>
    </row>
    <row r="3" spans="1:38" ht="324">
      <c r="A3" s="14">
        <v>1</v>
      </c>
      <c r="B3" s="24" t="s">
        <v>77</v>
      </c>
      <c r="C3" s="25" t="s">
        <v>78</v>
      </c>
      <c r="D3" s="23">
        <v>1789500</v>
      </c>
      <c r="E3" s="15">
        <v>0</v>
      </c>
      <c r="F3" s="16" t="s">
        <v>42</v>
      </c>
      <c r="G3" s="16" t="s">
        <v>43</v>
      </c>
      <c r="H3" s="16" t="s">
        <v>44</v>
      </c>
      <c r="I3" s="15">
        <v>3</v>
      </c>
      <c r="J3" s="16" t="s">
        <v>45</v>
      </c>
      <c r="K3" s="15">
        <v>0</v>
      </c>
      <c r="L3" s="15">
        <v>120000</v>
      </c>
      <c r="M3" s="15">
        <v>40000000</v>
      </c>
      <c r="N3" s="15">
        <f t="shared" ref="N3:N4" si="0">1-(O3/M3)</f>
        <v>5.5000000000000049E-2</v>
      </c>
      <c r="O3" s="15">
        <v>37800000</v>
      </c>
      <c r="P3" s="15">
        <v>1987</v>
      </c>
      <c r="Q3" s="15">
        <v>12</v>
      </c>
      <c r="R3" s="15">
        <v>3</v>
      </c>
      <c r="S3" s="15">
        <v>0</v>
      </c>
      <c r="T3" s="15">
        <v>85</v>
      </c>
      <c r="U3" s="15">
        <v>1</v>
      </c>
      <c r="V3" s="15">
        <v>1</v>
      </c>
      <c r="W3" s="15">
        <v>1</v>
      </c>
      <c r="X3" s="15">
        <v>160000</v>
      </c>
      <c r="Y3" s="15">
        <v>700000</v>
      </c>
      <c r="Z3" s="17" t="s">
        <v>46</v>
      </c>
      <c r="AA3" s="18">
        <v>4.6857309999999996</v>
      </c>
      <c r="AB3" s="18">
        <v>-74.084351999999996</v>
      </c>
      <c r="AC3" s="15">
        <v>2</v>
      </c>
      <c r="AD3" s="19">
        <v>44524</v>
      </c>
      <c r="AE3" s="15">
        <v>1</v>
      </c>
      <c r="AF3" s="15">
        <v>314567874</v>
      </c>
      <c r="AG3" s="16" t="s">
        <v>47</v>
      </c>
      <c r="AH3" s="20">
        <v>0.12</v>
      </c>
      <c r="AI3" s="15">
        <v>28000000</v>
      </c>
      <c r="AJ3" s="15">
        <v>7</v>
      </c>
      <c r="AK3" s="15">
        <v>2</v>
      </c>
      <c r="AL3" s="15">
        <v>11</v>
      </c>
    </row>
    <row r="4" spans="1:38" ht="324">
      <c r="A4" s="15">
        <v>203</v>
      </c>
      <c r="B4" s="24" t="s">
        <v>77</v>
      </c>
      <c r="C4" s="25" t="s">
        <v>78</v>
      </c>
      <c r="D4" s="23">
        <v>1789501</v>
      </c>
      <c r="E4" s="15">
        <v>0</v>
      </c>
      <c r="F4" s="16" t="s">
        <v>42</v>
      </c>
      <c r="G4" s="16" t="s">
        <v>43</v>
      </c>
      <c r="H4" s="16" t="s">
        <v>44</v>
      </c>
      <c r="I4" s="15">
        <v>3</v>
      </c>
      <c r="J4" s="16" t="s">
        <v>45</v>
      </c>
      <c r="K4" s="15">
        <v>0</v>
      </c>
      <c r="L4" s="15">
        <v>120000</v>
      </c>
      <c r="M4" s="15">
        <v>40000000</v>
      </c>
      <c r="N4" s="15">
        <f t="shared" si="0"/>
        <v>5.5000000000000049E-2</v>
      </c>
      <c r="O4" s="15">
        <v>37800000</v>
      </c>
      <c r="P4" s="15">
        <v>1987</v>
      </c>
      <c r="Q4" s="15">
        <v>12</v>
      </c>
      <c r="R4" s="15">
        <v>3</v>
      </c>
      <c r="S4" s="15">
        <v>0</v>
      </c>
      <c r="T4" s="15">
        <v>85</v>
      </c>
      <c r="U4" s="15">
        <v>1</v>
      </c>
      <c r="V4" s="15">
        <v>1</v>
      </c>
      <c r="W4" s="15">
        <v>1</v>
      </c>
      <c r="X4" s="15">
        <v>160000</v>
      </c>
      <c r="Y4" s="15">
        <v>700000</v>
      </c>
      <c r="Z4" s="17" t="s">
        <v>46</v>
      </c>
      <c r="AA4" s="18">
        <v>4.6857309999999996</v>
      </c>
      <c r="AB4" s="18">
        <v>-74.084351999999996</v>
      </c>
      <c r="AC4" s="15">
        <v>2</v>
      </c>
      <c r="AD4" s="19">
        <v>44524</v>
      </c>
      <c r="AE4" s="15">
        <v>1</v>
      </c>
      <c r="AF4" s="15">
        <v>314567874</v>
      </c>
      <c r="AG4" s="16" t="s">
        <v>47</v>
      </c>
      <c r="AH4" s="20">
        <v>0.12</v>
      </c>
      <c r="AI4" s="15">
        <v>28000000</v>
      </c>
      <c r="AJ4" s="15">
        <v>7</v>
      </c>
      <c r="AK4" s="15">
        <v>2</v>
      </c>
      <c r="AL4" s="15">
        <v>11</v>
      </c>
    </row>
    <row r="5" spans="1:38" ht="324">
      <c r="A5" s="15">
        <v>201</v>
      </c>
      <c r="B5" s="24" t="s">
        <v>77</v>
      </c>
      <c r="C5" s="25" t="s">
        <v>78</v>
      </c>
      <c r="D5" s="15">
        <v>1789502</v>
      </c>
      <c r="E5" s="15">
        <v>0</v>
      </c>
      <c r="F5" s="16" t="s">
        <v>42</v>
      </c>
      <c r="G5" s="16" t="s">
        <v>43</v>
      </c>
      <c r="H5" s="16" t="s">
        <v>44</v>
      </c>
      <c r="I5" s="15">
        <v>3</v>
      </c>
      <c r="J5" s="16" t="s">
        <v>45</v>
      </c>
      <c r="K5" s="15">
        <v>0</v>
      </c>
      <c r="L5" s="15">
        <v>120000</v>
      </c>
      <c r="M5" s="15">
        <v>40000000</v>
      </c>
      <c r="N5" s="15">
        <f t="shared" ref="N5" si="1">1-(O5/M5)</f>
        <v>5.5000000000000049E-2</v>
      </c>
      <c r="O5" s="15">
        <v>37800000</v>
      </c>
      <c r="P5" s="15">
        <v>1987</v>
      </c>
      <c r="Q5" s="15">
        <v>12</v>
      </c>
      <c r="R5" s="15">
        <v>3</v>
      </c>
      <c r="S5" s="15">
        <v>0</v>
      </c>
      <c r="T5" s="15">
        <v>85</v>
      </c>
      <c r="U5" s="15">
        <v>1</v>
      </c>
      <c r="V5" s="15">
        <v>1</v>
      </c>
      <c r="W5" s="15">
        <v>1</v>
      </c>
      <c r="X5" s="15">
        <v>160000</v>
      </c>
      <c r="Y5" s="15">
        <v>700000</v>
      </c>
      <c r="Z5" s="17" t="s">
        <v>46</v>
      </c>
      <c r="AA5" s="18">
        <v>4.6857309999999996</v>
      </c>
      <c r="AB5" s="18">
        <v>-74.084351999999996</v>
      </c>
      <c r="AC5" s="15">
        <v>2</v>
      </c>
      <c r="AD5" s="19">
        <v>44524</v>
      </c>
      <c r="AE5" s="15">
        <v>1</v>
      </c>
      <c r="AF5" s="15">
        <v>314567874</v>
      </c>
      <c r="AG5" s="16" t="s">
        <v>47</v>
      </c>
      <c r="AH5" s="20">
        <v>0.12</v>
      </c>
      <c r="AI5" s="15">
        <v>28000000</v>
      </c>
      <c r="AJ5" s="15">
        <v>7</v>
      </c>
      <c r="AK5" s="15">
        <v>2</v>
      </c>
      <c r="AL5" s="15">
        <v>11</v>
      </c>
    </row>
    <row r="6" spans="1:38" ht="324">
      <c r="A6" s="15">
        <v>202</v>
      </c>
      <c r="B6" s="24" t="s">
        <v>77</v>
      </c>
      <c r="C6" s="25" t="s">
        <v>78</v>
      </c>
      <c r="D6" s="15">
        <v>1789502</v>
      </c>
      <c r="E6" s="15">
        <v>0</v>
      </c>
      <c r="F6" s="16" t="s">
        <v>42</v>
      </c>
      <c r="G6" s="16" t="s">
        <v>43</v>
      </c>
      <c r="H6" s="16" t="s">
        <v>44</v>
      </c>
      <c r="I6" s="15">
        <v>3</v>
      </c>
      <c r="J6" s="16" t="s">
        <v>45</v>
      </c>
      <c r="K6" s="15">
        <v>0</v>
      </c>
      <c r="L6" s="15">
        <v>120000</v>
      </c>
      <c r="M6" s="15">
        <v>40000000</v>
      </c>
      <c r="N6" s="15">
        <f t="shared" ref="N6:N7" si="2">1-(O6/M6)</f>
        <v>5.5000000000000049E-2</v>
      </c>
      <c r="O6" s="15">
        <v>37800000</v>
      </c>
      <c r="P6" s="15">
        <v>1987</v>
      </c>
      <c r="Q6" s="15">
        <v>12</v>
      </c>
      <c r="R6" s="15">
        <v>3</v>
      </c>
      <c r="S6" s="15">
        <v>0</v>
      </c>
      <c r="T6" s="15">
        <v>85</v>
      </c>
      <c r="U6" s="15">
        <v>1</v>
      </c>
      <c r="V6" s="15">
        <v>1</v>
      </c>
      <c r="W6" s="15">
        <v>1</v>
      </c>
      <c r="X6" s="15">
        <v>160000</v>
      </c>
      <c r="Y6" s="15">
        <v>700000</v>
      </c>
      <c r="Z6" s="17" t="s">
        <v>46</v>
      </c>
      <c r="AA6" s="18">
        <v>4.6857309999999996</v>
      </c>
      <c r="AB6" s="18">
        <v>-74.084351999999996</v>
      </c>
      <c r="AC6" s="15">
        <v>2</v>
      </c>
      <c r="AD6" s="19">
        <v>44524</v>
      </c>
      <c r="AE6" s="15">
        <v>1</v>
      </c>
      <c r="AF6" s="15">
        <v>314567874</v>
      </c>
      <c r="AG6" s="16" t="s">
        <v>47</v>
      </c>
      <c r="AH6" s="20">
        <v>0.12</v>
      </c>
      <c r="AI6" s="15">
        <v>28000000</v>
      </c>
      <c r="AJ6" s="15">
        <v>7</v>
      </c>
      <c r="AK6" s="15">
        <v>2</v>
      </c>
      <c r="AL6" s="15">
        <v>11</v>
      </c>
    </row>
    <row r="7" spans="1:38" ht="324">
      <c r="A7" s="15">
        <v>205</v>
      </c>
      <c r="B7" s="24" t="s">
        <v>77</v>
      </c>
      <c r="C7" s="25" t="s">
        <v>78</v>
      </c>
      <c r="D7" s="23">
        <v>1789501</v>
      </c>
      <c r="E7" s="15">
        <v>0</v>
      </c>
      <c r="F7" s="16" t="s">
        <v>42</v>
      </c>
      <c r="G7" s="16" t="s">
        <v>43</v>
      </c>
      <c r="H7" s="16" t="s">
        <v>44</v>
      </c>
      <c r="I7" s="15">
        <v>3</v>
      </c>
      <c r="J7" s="16" t="s">
        <v>45</v>
      </c>
      <c r="K7" s="15">
        <v>0</v>
      </c>
      <c r="L7" s="15">
        <v>120000</v>
      </c>
      <c r="M7" s="15">
        <v>40000000</v>
      </c>
      <c r="N7" s="15">
        <f t="shared" si="2"/>
        <v>5.5000000000000049E-2</v>
      </c>
      <c r="O7" s="15">
        <v>37800000</v>
      </c>
      <c r="P7" s="15">
        <v>1987</v>
      </c>
      <c r="Q7" s="15">
        <v>12</v>
      </c>
      <c r="R7" s="15">
        <v>3</v>
      </c>
      <c r="S7" s="15">
        <v>0</v>
      </c>
      <c r="T7" s="15">
        <v>85</v>
      </c>
      <c r="U7" s="15">
        <v>1</v>
      </c>
      <c r="V7" s="15">
        <v>1</v>
      </c>
      <c r="W7" s="15">
        <v>1</v>
      </c>
      <c r="X7" s="15">
        <v>160000</v>
      </c>
      <c r="Y7" s="15">
        <v>700000</v>
      </c>
      <c r="Z7" s="17" t="s">
        <v>46</v>
      </c>
      <c r="AA7" s="18">
        <v>4.6857309999999996</v>
      </c>
      <c r="AB7" s="18">
        <v>-74.084351999999996</v>
      </c>
      <c r="AC7" s="15">
        <v>2</v>
      </c>
      <c r="AD7" s="19">
        <v>44524</v>
      </c>
      <c r="AE7" s="15">
        <v>1</v>
      </c>
      <c r="AF7" s="15">
        <v>314567874</v>
      </c>
      <c r="AG7" s="16" t="s">
        <v>47</v>
      </c>
      <c r="AH7" s="20">
        <v>0.12</v>
      </c>
      <c r="AI7" s="15">
        <v>28000000</v>
      </c>
      <c r="AJ7" s="15">
        <v>7</v>
      </c>
      <c r="AK7" s="15">
        <v>2</v>
      </c>
      <c r="AL7" s="15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workbookViewId="0">
      <selection activeCell="AG3" sqref="AG3"/>
    </sheetView>
  </sheetViews>
  <sheetFormatPr baseColWidth="10" defaultRowHeight="15"/>
  <cols>
    <col min="2" max="2" width="25.28515625" bestFit="1" customWidth="1"/>
    <col min="3" max="3" width="15" bestFit="1" customWidth="1"/>
    <col min="5" max="5" width="7.85546875" bestFit="1" customWidth="1"/>
  </cols>
  <sheetData>
    <row r="1" spans="1:31" ht="61.5" thickTop="1" thickBot="1">
      <c r="A1" s="3" t="s">
        <v>49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50</v>
      </c>
      <c r="J1" s="4" t="s">
        <v>9</v>
      </c>
      <c r="K1" s="5" t="s">
        <v>10</v>
      </c>
      <c r="L1" s="5" t="s">
        <v>51</v>
      </c>
      <c r="M1" s="5" t="s">
        <v>13</v>
      </c>
      <c r="N1" s="5" t="s">
        <v>14</v>
      </c>
      <c r="O1" s="4" t="s">
        <v>15</v>
      </c>
      <c r="P1" s="4" t="s">
        <v>52</v>
      </c>
      <c r="Q1" s="4" t="s">
        <v>53</v>
      </c>
      <c r="R1" s="4" t="s">
        <v>54</v>
      </c>
      <c r="S1" s="4" t="s">
        <v>55</v>
      </c>
      <c r="T1" s="4" t="s">
        <v>25</v>
      </c>
      <c r="U1" s="4" t="s">
        <v>26</v>
      </c>
      <c r="V1" s="4" t="s">
        <v>27</v>
      </c>
      <c r="W1" s="4" t="s">
        <v>28</v>
      </c>
      <c r="X1" s="4" t="s">
        <v>29</v>
      </c>
      <c r="Y1" s="4" t="s">
        <v>30</v>
      </c>
      <c r="Z1" s="7" t="s">
        <v>31</v>
      </c>
      <c r="AA1" s="4" t="s">
        <v>32</v>
      </c>
      <c r="AB1" s="6" t="s">
        <v>34</v>
      </c>
      <c r="AC1" s="4" t="s">
        <v>35</v>
      </c>
      <c r="AD1" s="6" t="s">
        <v>36</v>
      </c>
      <c r="AE1" s="6" t="s">
        <v>37</v>
      </c>
    </row>
    <row r="2" spans="1:31" ht="16.5" thickTop="1" thickBot="1">
      <c r="A2" s="3" t="s">
        <v>38</v>
      </c>
      <c r="B2" s="4" t="s">
        <v>38</v>
      </c>
      <c r="C2" s="4" t="s">
        <v>38</v>
      </c>
      <c r="D2" s="3" t="s">
        <v>38</v>
      </c>
      <c r="E2" s="4" t="s">
        <v>39</v>
      </c>
      <c r="F2" s="4" t="s">
        <v>38</v>
      </c>
      <c r="G2" s="4" t="s">
        <v>38</v>
      </c>
      <c r="H2" s="4" t="s">
        <v>38</v>
      </c>
      <c r="I2" s="4" t="s">
        <v>40</v>
      </c>
      <c r="J2" s="4" t="s">
        <v>56</v>
      </c>
      <c r="K2" s="5" t="s">
        <v>40</v>
      </c>
      <c r="L2" s="5" t="s">
        <v>40</v>
      </c>
      <c r="M2" s="5" t="s">
        <v>40</v>
      </c>
      <c r="N2" s="5" t="s">
        <v>38</v>
      </c>
      <c r="O2" s="4" t="s">
        <v>40</v>
      </c>
      <c r="P2" s="4" t="s">
        <v>40</v>
      </c>
      <c r="Q2" s="4" t="s">
        <v>40</v>
      </c>
      <c r="R2" s="4" t="s">
        <v>40</v>
      </c>
      <c r="S2" s="4" t="s">
        <v>40</v>
      </c>
      <c r="T2" s="4" t="s">
        <v>38</v>
      </c>
      <c r="U2" s="11" t="s">
        <v>38</v>
      </c>
      <c r="V2" s="11" t="s">
        <v>38</v>
      </c>
      <c r="W2" s="11" t="s">
        <v>39</v>
      </c>
      <c r="X2" s="11" t="s">
        <v>41</v>
      </c>
      <c r="Y2" s="11" t="s">
        <v>40</v>
      </c>
      <c r="Z2" s="11" t="s">
        <v>38</v>
      </c>
      <c r="AA2" s="11" t="s">
        <v>38</v>
      </c>
      <c r="AB2" s="13" t="s">
        <v>40</v>
      </c>
      <c r="AC2" s="11" t="s">
        <v>39</v>
      </c>
      <c r="AD2" s="13" t="s">
        <v>39</v>
      </c>
      <c r="AE2" s="13" t="s">
        <v>39</v>
      </c>
    </row>
    <row r="3" spans="1:31" ht="409.6" thickTop="1">
      <c r="A3" s="15">
        <v>1</v>
      </c>
      <c r="B3" s="24" t="s">
        <v>77</v>
      </c>
      <c r="C3" s="15">
        <v>10100050015000</v>
      </c>
      <c r="D3" s="15">
        <v>1789530</v>
      </c>
      <c r="E3" s="15">
        <v>0</v>
      </c>
      <c r="F3" s="16" t="s">
        <v>42</v>
      </c>
      <c r="G3" s="16" t="s">
        <v>43</v>
      </c>
      <c r="H3" s="16" t="s">
        <v>44</v>
      </c>
      <c r="I3" s="15">
        <v>3</v>
      </c>
      <c r="J3" s="16" t="s">
        <v>57</v>
      </c>
      <c r="K3" s="15">
        <v>0</v>
      </c>
      <c r="L3" s="15">
        <v>470000000</v>
      </c>
      <c r="M3" s="21">
        <f t="shared" ref="M3:M4" si="0">1-(N3/L3)</f>
        <v>4.2553191489361653E-2</v>
      </c>
      <c r="N3" s="15">
        <v>450000000</v>
      </c>
      <c r="O3" s="15">
        <v>1990</v>
      </c>
      <c r="P3" s="15">
        <v>182</v>
      </c>
      <c r="Q3" s="15">
        <v>250</v>
      </c>
      <c r="R3" s="15">
        <v>832000</v>
      </c>
      <c r="S3" s="15">
        <v>1250000</v>
      </c>
      <c r="T3" s="22" t="s">
        <v>58</v>
      </c>
      <c r="U3" s="18">
        <v>4.6885289999999999</v>
      </c>
      <c r="V3" s="18">
        <v>-74.082549999999998</v>
      </c>
      <c r="W3" s="15">
        <v>2</v>
      </c>
      <c r="X3" s="19">
        <v>44524</v>
      </c>
      <c r="Y3" s="15">
        <v>1</v>
      </c>
      <c r="Z3" s="15">
        <v>3192514878</v>
      </c>
      <c r="AA3" s="16" t="s">
        <v>59</v>
      </c>
      <c r="AB3" s="15">
        <v>320000000</v>
      </c>
      <c r="AC3" s="15">
        <v>7</v>
      </c>
      <c r="AD3" s="15">
        <v>2</v>
      </c>
      <c r="AE3" s="15">
        <v>6</v>
      </c>
    </row>
    <row r="4" spans="1:31" ht="409.5">
      <c r="A4" s="23">
        <v>200</v>
      </c>
      <c r="B4" s="24" t="s">
        <v>77</v>
      </c>
      <c r="C4" s="15">
        <v>10100050015000</v>
      </c>
      <c r="D4" s="23">
        <v>1789540</v>
      </c>
      <c r="E4" s="15">
        <v>0</v>
      </c>
      <c r="F4" s="16" t="s">
        <v>42</v>
      </c>
      <c r="G4" s="16" t="s">
        <v>43</v>
      </c>
      <c r="H4" s="16" t="s">
        <v>44</v>
      </c>
      <c r="I4" s="15">
        <v>3</v>
      </c>
      <c r="J4" s="16" t="s">
        <v>57</v>
      </c>
      <c r="K4" s="15">
        <v>0</v>
      </c>
      <c r="L4" s="15">
        <v>470000000</v>
      </c>
      <c r="M4" s="21">
        <f t="shared" si="0"/>
        <v>4.2553191489361653E-2</v>
      </c>
      <c r="N4" s="15">
        <v>450000000</v>
      </c>
      <c r="O4" s="15">
        <v>1990</v>
      </c>
      <c r="P4" s="15">
        <v>182</v>
      </c>
      <c r="Q4" s="15">
        <v>250</v>
      </c>
      <c r="R4" s="15">
        <v>832000</v>
      </c>
      <c r="S4" s="15">
        <v>1250000</v>
      </c>
      <c r="T4" s="22" t="s">
        <v>58</v>
      </c>
      <c r="U4" s="18">
        <v>4.6885289999999999</v>
      </c>
      <c r="V4" s="18">
        <v>-74.082549999999998</v>
      </c>
      <c r="W4" s="15">
        <v>2</v>
      </c>
      <c r="X4" s="19">
        <v>44524</v>
      </c>
      <c r="Y4" s="15">
        <v>1</v>
      </c>
      <c r="Z4" s="15">
        <v>3192514878</v>
      </c>
      <c r="AA4" s="16" t="s">
        <v>59</v>
      </c>
      <c r="AB4" s="15">
        <v>320000000</v>
      </c>
      <c r="AC4" s="15">
        <v>7</v>
      </c>
      <c r="AD4" s="15">
        <v>2</v>
      </c>
      <c r="AE4" s="1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"/>
  <sheetViews>
    <sheetView workbookViewId="0">
      <selection activeCell="AH4" sqref="AH4"/>
    </sheetView>
  </sheetViews>
  <sheetFormatPr baseColWidth="10" defaultRowHeight="15"/>
  <cols>
    <col min="2" max="2" width="31.5703125" bestFit="1" customWidth="1"/>
    <col min="3" max="3" width="21.28515625" bestFit="1" customWidth="1"/>
  </cols>
  <sheetData>
    <row r="1" spans="1:34" ht="61.5" thickTop="1" thickBot="1">
      <c r="A1" s="3" t="s">
        <v>60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61</v>
      </c>
      <c r="I1" s="4" t="s">
        <v>8</v>
      </c>
      <c r="J1" s="4" t="s">
        <v>62</v>
      </c>
      <c r="K1" s="4" t="s">
        <v>9</v>
      </c>
      <c r="L1" s="5" t="s">
        <v>10</v>
      </c>
      <c r="M1" s="5" t="s">
        <v>51</v>
      </c>
      <c r="N1" s="5" t="s">
        <v>13</v>
      </c>
      <c r="O1" s="5" t="s">
        <v>63</v>
      </c>
      <c r="P1" s="4" t="s">
        <v>15</v>
      </c>
      <c r="Q1" s="4" t="s">
        <v>64</v>
      </c>
      <c r="R1" s="4" t="s">
        <v>65</v>
      </c>
      <c r="S1" s="4" t="s">
        <v>66</v>
      </c>
      <c r="T1" s="4" t="s">
        <v>67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7" t="s">
        <v>31</v>
      </c>
      <c r="AB1" s="4" t="s">
        <v>32</v>
      </c>
      <c r="AC1" s="6" t="s">
        <v>34</v>
      </c>
      <c r="AD1" s="4" t="s">
        <v>35</v>
      </c>
      <c r="AE1" s="6" t="s">
        <v>36</v>
      </c>
      <c r="AF1" s="6" t="s">
        <v>37</v>
      </c>
      <c r="AG1" s="6" t="s">
        <v>68</v>
      </c>
      <c r="AH1" s="6" t="s">
        <v>69</v>
      </c>
    </row>
    <row r="2" spans="1:34" ht="16.5" thickTop="1" thickBot="1">
      <c r="A2" s="3" t="s">
        <v>38</v>
      </c>
      <c r="B2" s="4" t="s">
        <v>38</v>
      </c>
      <c r="C2" s="4" t="s">
        <v>38</v>
      </c>
      <c r="D2" s="4" t="s">
        <v>38</v>
      </c>
      <c r="E2" s="4" t="s">
        <v>39</v>
      </c>
      <c r="F2" s="4" t="s">
        <v>38</v>
      </c>
      <c r="G2" s="4" t="s">
        <v>38</v>
      </c>
      <c r="H2" s="4" t="s">
        <v>38</v>
      </c>
      <c r="I2" s="4" t="s">
        <v>40</v>
      </c>
      <c r="J2" s="4" t="s">
        <v>38</v>
      </c>
      <c r="K2" s="4" t="s">
        <v>38</v>
      </c>
      <c r="L2" s="5" t="s">
        <v>40</v>
      </c>
      <c r="M2" s="5" t="s">
        <v>40</v>
      </c>
      <c r="N2" s="5" t="s">
        <v>40</v>
      </c>
      <c r="O2" s="5" t="s">
        <v>38</v>
      </c>
      <c r="P2" s="4" t="s">
        <v>40</v>
      </c>
      <c r="Q2" s="4" t="s">
        <v>40</v>
      </c>
      <c r="R2" s="4" t="s">
        <v>40</v>
      </c>
      <c r="S2" s="4" t="s">
        <v>40</v>
      </c>
      <c r="T2" s="4" t="s">
        <v>40</v>
      </c>
      <c r="U2" s="4" t="s">
        <v>38</v>
      </c>
      <c r="V2" s="4" t="s">
        <v>38</v>
      </c>
      <c r="W2" s="4" t="s">
        <v>38</v>
      </c>
      <c r="X2" s="4" t="s">
        <v>39</v>
      </c>
      <c r="Y2" s="4" t="s">
        <v>41</v>
      </c>
      <c r="Z2" s="4" t="s">
        <v>40</v>
      </c>
      <c r="AA2" s="4" t="s">
        <v>38</v>
      </c>
      <c r="AB2" s="4" t="s">
        <v>38</v>
      </c>
      <c r="AC2" s="13" t="s">
        <v>40</v>
      </c>
      <c r="AD2" s="11" t="s">
        <v>39</v>
      </c>
      <c r="AE2" s="13" t="s">
        <v>39</v>
      </c>
      <c r="AF2" s="13" t="s">
        <v>39</v>
      </c>
      <c r="AG2" s="13" t="s">
        <v>38</v>
      </c>
      <c r="AH2" s="13" t="s">
        <v>38</v>
      </c>
    </row>
    <row r="3" spans="1:34" ht="409.6" thickTop="1">
      <c r="A3" s="15">
        <v>1</v>
      </c>
      <c r="B3" s="24" t="s">
        <v>77</v>
      </c>
      <c r="C3" s="15">
        <v>7.3168000200530002E+19</v>
      </c>
      <c r="D3" s="23">
        <v>1234510</v>
      </c>
      <c r="E3" s="15">
        <v>0</v>
      </c>
      <c r="F3" s="16" t="s">
        <v>42</v>
      </c>
      <c r="G3" s="16" t="s">
        <v>70</v>
      </c>
      <c r="H3" s="16" t="s">
        <v>71</v>
      </c>
      <c r="I3" s="15">
        <v>3</v>
      </c>
      <c r="J3" s="16" t="s">
        <v>72</v>
      </c>
      <c r="K3" s="22" t="s">
        <v>73</v>
      </c>
      <c r="L3" s="15">
        <v>0</v>
      </c>
      <c r="M3" s="15">
        <v>250000000</v>
      </c>
      <c r="N3" s="18">
        <f t="shared" ref="N3" si="0">1-(O3/M3)</f>
        <v>7.999999999999996E-2</v>
      </c>
      <c r="O3" s="15">
        <v>230000000</v>
      </c>
      <c r="P3" s="15">
        <v>2000</v>
      </c>
      <c r="Q3" s="20">
        <v>8.5</v>
      </c>
      <c r="R3" s="15">
        <v>200</v>
      </c>
      <c r="S3" s="15">
        <v>875000</v>
      </c>
      <c r="T3" s="15">
        <v>5500000</v>
      </c>
      <c r="U3" s="22" t="s">
        <v>74</v>
      </c>
      <c r="V3" s="18">
        <v>3.452655</v>
      </c>
      <c r="W3" s="18">
        <v>-75.471118000000004</v>
      </c>
      <c r="X3" s="15">
        <v>2</v>
      </c>
      <c r="Y3" s="19">
        <v>44524</v>
      </c>
      <c r="Z3" s="15">
        <v>0</v>
      </c>
      <c r="AA3" s="15">
        <v>3203135121</v>
      </c>
      <c r="AB3" s="16" t="s">
        <v>75</v>
      </c>
      <c r="AC3" s="15">
        <v>185000000</v>
      </c>
      <c r="AD3" s="15">
        <v>2</v>
      </c>
      <c r="AE3" s="15">
        <v>2</v>
      </c>
      <c r="AF3" s="15">
        <v>4</v>
      </c>
      <c r="AG3" s="16" t="s">
        <v>76</v>
      </c>
      <c r="AH3" s="16" t="s">
        <v>79</v>
      </c>
    </row>
    <row r="4" spans="1:34" ht="409.5">
      <c r="A4" s="15" t="s">
        <v>48</v>
      </c>
      <c r="B4" s="24" t="s">
        <v>77</v>
      </c>
      <c r="C4" s="15">
        <v>7.3168000200530002E+19</v>
      </c>
      <c r="D4" s="23">
        <v>1234511</v>
      </c>
      <c r="E4" s="15">
        <v>0</v>
      </c>
      <c r="F4" s="16" t="s">
        <v>42</v>
      </c>
      <c r="G4" s="16" t="s">
        <v>70</v>
      </c>
      <c r="H4" s="16" t="s">
        <v>71</v>
      </c>
      <c r="I4" s="15">
        <v>3</v>
      </c>
      <c r="J4" s="16" t="s">
        <v>72</v>
      </c>
      <c r="K4" s="22" t="s">
        <v>73</v>
      </c>
      <c r="L4" s="15">
        <v>0</v>
      </c>
      <c r="M4" s="15">
        <v>250000000</v>
      </c>
      <c r="N4" s="18">
        <v>7.999999999999996E-2</v>
      </c>
      <c r="O4" s="15">
        <v>230000000</v>
      </c>
      <c r="P4" s="15">
        <v>2000</v>
      </c>
      <c r="Q4" s="20">
        <v>8.5</v>
      </c>
      <c r="R4" s="15">
        <v>200</v>
      </c>
      <c r="S4" s="15">
        <v>875000</v>
      </c>
      <c r="T4" s="15">
        <v>5500000</v>
      </c>
      <c r="U4" s="22" t="s">
        <v>74</v>
      </c>
      <c r="V4" s="18">
        <v>3.452655</v>
      </c>
      <c r="W4" s="18">
        <v>-75.471118000000004</v>
      </c>
      <c r="X4" s="15">
        <v>2</v>
      </c>
      <c r="Y4" s="19">
        <v>44524</v>
      </c>
      <c r="Z4" s="15">
        <v>0</v>
      </c>
      <c r="AA4" s="15">
        <v>3203135121</v>
      </c>
      <c r="AB4" s="16" t="s">
        <v>75</v>
      </c>
      <c r="AC4" s="15">
        <v>185000000</v>
      </c>
      <c r="AD4" s="15">
        <v>2</v>
      </c>
      <c r="AE4" s="15">
        <v>2</v>
      </c>
      <c r="AF4" s="15">
        <v>4</v>
      </c>
      <c r="AG4" s="16" t="s">
        <v>76</v>
      </c>
      <c r="AH4" s="1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2022-03-03T02:29:28Z</dcterms:created>
  <dcterms:modified xsi:type="dcterms:W3CDTF">2022-03-04T19:11:39Z</dcterms:modified>
</cp:coreProperties>
</file>