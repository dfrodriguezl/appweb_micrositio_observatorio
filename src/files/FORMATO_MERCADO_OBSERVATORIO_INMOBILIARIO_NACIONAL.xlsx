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QUIPO\Downloads\"/>
    </mc:Choice>
  </mc:AlternateContent>
  <xr:revisionPtr revIDLastSave="0" documentId="13_ncr:1_{6AA940F1-BEB1-4D7B-B6ED-9A773515C0E2}" xr6:coauthVersionLast="47" xr6:coauthVersionMax="47" xr10:uidLastSave="{00000000-0000-0000-0000-000000000000}"/>
  <bookViews>
    <workbookView xWindow="-120" yWindow="-120" windowWidth="20730" windowHeight="11040" xr2:uid="{00000000-000D-0000-FFFF-FFFF00000000}"/>
  </bookViews>
  <sheets>
    <sheet name="PH" sheetId="1" r:id="rId1"/>
    <sheet name="NPH" sheetId="8" r:id="rId2"/>
    <sheet name="RURAL" sheetId="9" r:id="rId3"/>
    <sheet name="DOMINIOS" sheetId="6" r:id="rId4"/>
    <sheet name="ESPECIFICACIONES" sheetId="7" r:id="rId5"/>
    <sheet name="NUMERO_PREDIAL_ANTIGUO" sheetId="10" r:id="rId6"/>
    <sheet name="NUMERO_PREDIAL_NUEVO" sheetId="1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9" l="1"/>
  <c r="E32" i="8"/>
  <c r="E41" i="9"/>
  <c r="E40" i="9"/>
  <c r="E39" i="9"/>
  <c r="E33" i="9"/>
  <c r="E14" i="9"/>
  <c r="E40" i="8"/>
  <c r="E39" i="8"/>
  <c r="E38" i="8"/>
  <c r="E19" i="8"/>
  <c r="E14" i="8"/>
  <c r="E47" i="1"/>
  <c r="E46" i="1"/>
  <c r="E45" i="1"/>
  <c r="E38" i="1"/>
  <c r="E19" i="1"/>
  <c r="E14" i="1"/>
</calcChain>
</file>

<file path=xl/sharedStrings.xml><?xml version="1.0" encoding="utf-8"?>
<sst xmlns="http://schemas.openxmlformats.org/spreadsheetml/2006/main" count="1036" uniqueCount="418">
  <si>
    <t>ESTRUCTURA DE DATOS</t>
  </si>
  <si>
    <t>Descripción Tema</t>
  </si>
  <si>
    <t>OfertasPH</t>
  </si>
  <si>
    <t>Comprende las ofertas sobre  los predios de interes que se encuetren dentro de las zonas de estudio del gestor catastral</t>
  </si>
  <si>
    <t>Feature Class:</t>
  </si>
  <si>
    <t>Geometría:</t>
  </si>
  <si>
    <t>Punto</t>
  </si>
  <si>
    <t>CAMPO</t>
  </si>
  <si>
    <t>TIPO DE DATO</t>
  </si>
  <si>
    <t>DESCRIPCIÓN</t>
  </si>
  <si>
    <t>DOMINIO</t>
  </si>
  <si>
    <t>OBLIGACIÓN/CONDICIÓN</t>
  </si>
  <si>
    <t>PAQUETE LADM-COL</t>
  </si>
  <si>
    <t>CLASE</t>
  </si>
  <si>
    <t>OBSERVACION</t>
  </si>
  <si>
    <t>ID_OFERTA_PH</t>
  </si>
  <si>
    <t>String</t>
  </si>
  <si>
    <t xml:space="preserve">Identificador unico de la oferta asociada al predio </t>
  </si>
  <si>
    <t>N/A</t>
  </si>
  <si>
    <t>Obligatorio</t>
  </si>
  <si>
    <t>NUMERO_PREDIAL_ANTIGUO</t>
  </si>
  <si>
    <t>Numero predial Antiguo de 20 digitos, ver estructura del numero prediale en la hoja NUMERO_PREDIAL_ANTIGUO</t>
  </si>
  <si>
    <t>Numero_Predial_Antiguo</t>
  </si>
  <si>
    <t>Condicional</t>
  </si>
  <si>
    <t>Unidad Administrativa Basica</t>
  </si>
  <si>
    <t>Clase. LC_Predio</t>
  </si>
  <si>
    <t xml:space="preserve">Para estos 4 campos por lo menos uno debe contener los datos referente a los identificadores prediales solicitados, si se tienen lo datos de los 4 campos, estos pueden ser diligenciados, pero en caso de no tener los datos de matricula inmobiliaria o numero predial antiguo o nuevo, el campo codigo homologado se vuelve obigatorio </t>
  </si>
  <si>
    <t>NUMERO PREDIAL NUEVO</t>
  </si>
  <si>
    <t>Numero predial Antiguo de 30 digitos, ver estructura del numero prediale en la hoja NUMERO_PREDIAL_NUEVO</t>
  </si>
  <si>
    <t>Numero_Predial_Nuevo</t>
  </si>
  <si>
    <t>CODIGO HOMOLOGADO</t>
  </si>
  <si>
    <t>Es un código único para identificar los inmuebles tanto en los sistemas de información catastral como registral</t>
  </si>
  <si>
    <t>MATRICULA_INMOBILIARIA</t>
  </si>
  <si>
    <t xml:space="preserve">Numero de Matricula inmobiliaria </t>
  </si>
  <si>
    <t>TIPO OFERTA</t>
  </si>
  <si>
    <t>Dominio</t>
  </si>
  <si>
    <t>La clase de oferta corresponde a una oferta de venta o a una oferta de arriendo del predio.</t>
  </si>
  <si>
    <t>LC_OfertasMercadoInmobiliario</t>
  </si>
  <si>
    <t>DEPARTAMENTO</t>
  </si>
  <si>
    <t>Codigo DIVIPOLA de 2 digitos asignado para el departamento de Colombia donde se encuentra ubicado el Predio</t>
  </si>
  <si>
    <t>MUNICIPIO</t>
  </si>
  <si>
    <t>Codigo DIVIPOLA de 5 digitos asignado para el municipio de Colombia donde se encuentra ubicado el Predio</t>
  </si>
  <si>
    <t>NOMBRE_BARRIO</t>
  </si>
  <si>
    <t>Nombre del barrio aprobado en el acuerdo municipal.</t>
  </si>
  <si>
    <t>Opcional</t>
  </si>
  <si>
    <t>Submodelo de Cartografia ctastral</t>
  </si>
  <si>
    <t>Clase. CC_Barrio</t>
  </si>
  <si>
    <t>ESTRATO</t>
  </si>
  <si>
    <t>Number</t>
  </si>
  <si>
    <t>Categoria de estrato del inmueble</t>
  </si>
  <si>
    <t>Clase.LC_DatosAdicionalesLevantamientoCatastral</t>
  </si>
  <si>
    <t>DIRECCIÓN</t>
  </si>
  <si>
    <t>Estructura</t>
  </si>
  <si>
    <t>Dirección del predio, para diligenciar este campo debe tener en cuenta las caracteristicas de las direcciones y cada uno de los apectos generadores que se enumeran en la observacion Ext_Direccion</t>
  </si>
  <si>
    <t>VALOR_ARRIENDO</t>
  </si>
  <si>
    <t>Valor del arriendo en pesos colombianos y sin separador de miles, solo se debe llenar si el tipo de oferta corresponde arrendamiento</t>
  </si>
  <si>
    <t>Este campo solo sera diligenciado cuando la oferta sea de tipo arrendamiento</t>
  </si>
  <si>
    <t>VALOR_ADMINISTRACION</t>
  </si>
  <si>
    <t>Valor de la administracion en pesos colombianos y sin separador de miles</t>
  </si>
  <si>
    <t>VALOR_OFERTA_VENTA</t>
  </si>
  <si>
    <t>Valor de la oferta en pesos colombianos y sin separador de miles</t>
  </si>
  <si>
    <t>Este campo solo sera diligenciado cuando la oferta sea de tipo venta</t>
  </si>
  <si>
    <t>PORCENTAJE  DE NEGOCIACIÓN</t>
  </si>
  <si>
    <t>Para obtener este valor a 1 se le debe restar la division entre el valor negociado y el valor inicial de la oferta</t>
  </si>
  <si>
    <t>VALOR OFERTA NEGOCIADO</t>
  </si>
  <si>
    <t>Valor de la oferta negociada en pesos colombianos y sin separador de miles</t>
  </si>
  <si>
    <t>ANIO_CONSTRUCCION</t>
  </si>
  <si>
    <t>Año de edificación de la construcción.</t>
  </si>
  <si>
    <t>Unidad Espacial</t>
  </si>
  <si>
    <t>Clase. LC_Construcción</t>
  </si>
  <si>
    <t>ALTURA EDIFICIO</t>
  </si>
  <si>
    <t>Altura total de la construcción.</t>
  </si>
  <si>
    <t>No. PISO</t>
  </si>
  <si>
    <t>Numero de piso dentro de la torre o edificio donde esta ubicado el apartamento en ph</t>
  </si>
  <si>
    <t>ÁREA CONSTRUIDA (m²)</t>
  </si>
  <si>
    <t>Area construida en metros cuadrados</t>
  </si>
  <si>
    <t>opcional</t>
  </si>
  <si>
    <t>ÁREA PRIVADA (m²)</t>
  </si>
  <si>
    <t>Area privada en metros cuadrados</t>
  </si>
  <si>
    <t>No. GARAJES</t>
  </si>
  <si>
    <t>Cantidad de Garajes disponibles</t>
  </si>
  <si>
    <t>No. DEPÓSITOS</t>
  </si>
  <si>
    <t>Cantidad de depositos disponibles</t>
  </si>
  <si>
    <t>VR TOTAL TERRAZA, BALCÓN Y/O PATIO</t>
  </si>
  <si>
    <t>Valor en pesos colombianos sin separador de miles de la terraza, balcon y/o patio</t>
  </si>
  <si>
    <t>VALOR GARAJES</t>
  </si>
  <si>
    <t>Valor en pesos colombianos sin separador de miles del o los garajes</t>
  </si>
  <si>
    <t>VALOR DEPÓSITOS</t>
  </si>
  <si>
    <t>Valor en pesos colombianos, sin separador de miles del o los depositos</t>
  </si>
  <si>
    <t>OBSERVACIONES</t>
  </si>
  <si>
    <t>Descripcion del Inmieble y datos adicionales dados por el oferente.</t>
  </si>
  <si>
    <t>Este campo debe tener máximo 500 carácteres</t>
  </si>
  <si>
    <t>LATITUD</t>
  </si>
  <si>
    <t xml:space="preserve">Coordenada Geografica latitud </t>
  </si>
  <si>
    <t>LONGITUD</t>
  </si>
  <si>
    <t>Coordenada Geografica longitud</t>
  </si>
  <si>
    <t>CONSERVACION</t>
  </si>
  <si>
    <t>Estado de conservación promedio de todas las construcciones encontradas dentro del predio</t>
  </si>
  <si>
    <t>Clase. LC_Grupo Calificación</t>
  </si>
  <si>
    <t>FECHA_CAPTURA_OFERTA</t>
  </si>
  <si>
    <t>Date</t>
  </si>
  <si>
    <t>Año, mes y día de captura de la oferta en campo.</t>
  </si>
  <si>
    <t>TIEMPO_OFERTA_MERCADO</t>
  </si>
  <si>
    <t>Número de meses de la publicación de la oferta en el mercado inmobiliario</t>
  </si>
  <si>
    <t>NUMERO_CONTACTO_OFERENTE</t>
  </si>
  <si>
    <t>Número de teléfono fijo o número celular de la persona que está publicitando el bien inmueble.</t>
  </si>
  <si>
    <t>NOMBRE_OFERENTE</t>
  </si>
  <si>
    <t>Nombre completo de la persona que está vendiendo o arrendando el inmueble. Para las personas naturales se ingresa primeros los nombres y luego los apellidos, y para las personas jurídicas se ingresa la razón social.</t>
  </si>
  <si>
    <t>COEFICIENTE</t>
  </si>
  <si>
    <t>Coeficiente de copropiedad de la unidad predial.</t>
  </si>
  <si>
    <t>LC_Predio_Copropiedad</t>
  </si>
  <si>
    <t>AVALUO_CATASTRAL</t>
  </si>
  <si>
    <t>Valor catastral del predio reportado en el ultimo impuesto predial del inmueble.</t>
  </si>
  <si>
    <t>DESTINACION_ECONOMICA</t>
  </si>
  <si>
    <t>Es la clasificación para fines estadísticos que se da a cada inmueble en su conjunto–terreno, construcciones o edificaciones-, en el momento de la identificación predial de conformidad con la actividad predominante que en él se desarrolle.</t>
  </si>
  <si>
    <t>Clase. LC_DatosAdicionalesLevantamientoCatastral</t>
  </si>
  <si>
    <t>DERECHO_TIPO</t>
  </si>
  <si>
    <t>Derecho que se ejerce sobre el predio</t>
  </si>
  <si>
    <t>Derechos Responsabilidades, Restricciones (DRR)</t>
  </si>
  <si>
    <t>Clase. LC_Derecho</t>
  </si>
  <si>
    <t>TIPO_TIPOLOGIA</t>
  </si>
  <si>
    <t>Son las características de diseño y constructivas especiales de las construcciones y/o edificaciones predominantes</t>
  </si>
  <si>
    <t>Clase. LC_Tipologia_Constr ucción</t>
  </si>
  <si>
    <t>OfertasNPH</t>
  </si>
  <si>
    <t>Comprende las ofertas sobre  los predios de interes que se encuetren dentro de las zonas de estudio del gestor catastral y no esten bajo el regimen de propiedad horizontal.</t>
  </si>
  <si>
    <t>ID_OFERTA_NPH</t>
  </si>
  <si>
    <t>Codigo DIVIPOLA asignado para el departamento de Colombia donde se encuentra ubicado el Predio</t>
  </si>
  <si>
    <t>Codigo DIVIPOLA asignado para el municipio de Colombia donde se encuentra ubicado el Predio</t>
  </si>
  <si>
    <t>Valor del arriendo en pesos colombianos y sin separador de miles</t>
  </si>
  <si>
    <t>VALOR DE LA OFERTA</t>
  </si>
  <si>
    <t>AREA
TERRENO</t>
  </si>
  <si>
    <t>Area del terreno en metros cuadrados</t>
  </si>
  <si>
    <t>AREA CONSTRUCCIÓN</t>
  </si>
  <si>
    <t>Area construida en Metros cuadrados</t>
  </si>
  <si>
    <t>VR. M2 CONST.</t>
  </si>
  <si>
    <t>Valor del metro cuadrado de construcción de acuerdo a la tipologia constructiva, sin separador de miles</t>
  </si>
  <si>
    <t>VR M2 TERRENO</t>
  </si>
  <si>
    <t>Valor del metro cuadrado del terreno sin separador de miles</t>
  </si>
  <si>
    <t>Son las características de diseño y constructivas especiales de las construcciones y/o edificaciones</t>
  </si>
  <si>
    <t xml:space="preserve">ESTRUCTURA DE DATOS </t>
  </si>
  <si>
    <t>OfertasRural</t>
  </si>
  <si>
    <t>Comprende las ofertas sobre  los predios de interes que se encuetren dentro de las zonas de estudio del gestor catastral y se encuentre en el perimetro rural</t>
  </si>
  <si>
    <t>ID_OFERTA_RURAL</t>
  </si>
  <si>
    <t>Numero de Matricula inmobiliaria de 12 dígitos</t>
  </si>
  <si>
    <t>NOMBRE_VEREDA</t>
  </si>
  <si>
    <t>TIPO_INMUEBLES</t>
  </si>
  <si>
    <t>Clasifique el tipo de inmueble rural al cual corresponde la oferta (ejemplo finca de vacaciones, forestal, agropecuaria etc)</t>
  </si>
  <si>
    <t>VALOR_OFERTA_NEGOCIADO</t>
  </si>
  <si>
    <t>AREA_TERRENO</t>
  </si>
  <si>
    <t>Area del terreno en Hectareas</t>
  </si>
  <si>
    <t>AREA_CONSTRUCCIÓN</t>
  </si>
  <si>
    <t>VR_M2_CONST</t>
  </si>
  <si>
    <t>Valor del metro cuadrado de construcción sin separador de miles</t>
  </si>
  <si>
    <t>VR_Ha_TERRENO</t>
  </si>
  <si>
    <t>Valor de la hectarea del terreno sin separador de miles</t>
  </si>
  <si>
    <t>TIPO_CULTIVOS</t>
  </si>
  <si>
    <t>Escriba el cultivo o los cultivos que se presentan dentro del terreno</t>
  </si>
  <si>
    <t>CONSTRUCCIONES_ANEXAS</t>
  </si>
  <si>
    <t>Escriba las construcciones anexas que tenga el inmueble como piscinas, canchas de futbol, baloncesto o voleybol, etc</t>
  </si>
  <si>
    <t>Dominio:</t>
  </si>
  <si>
    <t>Dom_Derecho_Tipo</t>
  </si>
  <si>
    <t>CÓDIGO</t>
  </si>
  <si>
    <t>NOMBRE</t>
  </si>
  <si>
    <t>Ocupacion</t>
  </si>
  <si>
    <t>En el ámbito de la gestión catastral, es el polígono que representa el asentamiento de personas naturales o jurídicas dentro de un terreno baldío, el cual puede contar o no con construcciones y/o edificaciones.</t>
  </si>
  <si>
    <t>Posesión</t>
  </si>
  <si>
    <t>En el ámbito de la gestión catastral, es el polígono que representa el asentamiento de personas naturales o jurídicas, con ánimo de señor y dueño sobre un predio privado, el cual puede contar o no con construcciones y/o edificaciones</t>
  </si>
  <si>
    <t>Derecho de Dominio o propiedad</t>
  </si>
  <si>
    <t>El dominio que se llama también propiedad es el derecho real en una cosa corporal, para gozar y disponer de ella arbitrariamente, no siendo contra ley o contra derecho ajeno.</t>
  </si>
  <si>
    <t>Dom_Tipo_Oferta</t>
  </si>
  <si>
    <t>Venta</t>
  </si>
  <si>
    <t>Oferta de inmueble en venta</t>
  </si>
  <si>
    <t>Arrendamiento</t>
  </si>
  <si>
    <t>Oferta de inmueble en Arrendamiento</t>
  </si>
  <si>
    <t>Dom_Destinacion_Economica</t>
  </si>
  <si>
    <t>Acuicola</t>
  </si>
  <si>
    <t>Se califica con destino acuícola, aquellos predios donde se realizan cultivos de organismos acuáticos, en ambientes naturales o artificiales.</t>
  </si>
  <si>
    <t>Agricola</t>
  </si>
  <si>
    <t>Se califica con destino agrícola, aquellos predios con funcionalidad de laboreo agrícola, terrenos que han sido transformados y ocupados para la producción de cultivos cuyo objetivo es satisfacer las necesidades alimentarias, comerciales y agrícolas. En caso de encontrar actividad agrícola y actividad pecuaria en un mismo predio, se califica según la actividad que predomine. Si, ambas actividades tienen el mismo porcentaje de participación en el predio, se debe calificar como agrícola.</t>
  </si>
  <si>
    <t>Agroindustrial</t>
  </si>
  <si>
    <t>Se califica con destino agroindustrial, aquellos predios destinados a la actividad que implica cultivo (producción) y transformación (industrialización y comercialización) de productos agrícola, pecuario y forestal</t>
  </si>
  <si>
    <t>Agropecuario</t>
  </si>
  <si>
    <t>Predios con destinación agrícola y pecuaria.</t>
  </si>
  <si>
    <t>Agroforestal</t>
  </si>
  <si>
    <t>Se califica con destino agroforestal, aquellos predios destinados al establecimiento y aprovechamiento combinado de especies forestales con actividades agrícolas o pecuarias con arreglos diferenciados. Incluye la actividad agrosilvícola, silvopastoril y agrosilvopastoril.</t>
  </si>
  <si>
    <t>Comercial</t>
  </si>
  <si>
    <t>Se califica con destino comercial, aquellos predios cuya finalidad es la de realizar la actividad económica de ofrecer, transar o almacenar bienes y/o servicios a través de un mercader o comerciante.</t>
  </si>
  <si>
    <t>Cultural</t>
  </si>
  <si>
    <t>Se califica con destino cultural, aquellos predios considerados como bienes culturales de la nación, además los espacios destinados al desarrollo de actividades artísticas.</t>
  </si>
  <si>
    <t>Educativo</t>
  </si>
  <si>
    <t>Se califica con destino educativo, aquellos predios donde se desarrollan actividades académicas, tanto de la educación inicial, preescolar, básica, media y superior. Incluye los jardines, escuelas, colegios, institutos técnicos, fundaciones educativas, centros de investigación y universidades.</t>
  </si>
  <si>
    <t>Forestal</t>
  </si>
  <si>
    <t>Se califica con destino forestal, aquellos predios con áreas naturales o seminaturales, constituidas principalmente por elementos arbóreos de especies nativas, exóticas e introducidas. Incluye las plantaciones forestales comerciales y los bosques naturales y seminaturales.</t>
  </si>
  <si>
    <t>Habitacional</t>
  </si>
  <si>
    <t>Se califica con destino habitacional, aquellos predios de uso residencial cuya finalidad es la vivienda habitual de las personas. Incluye los parqueaderos, garajes y depósitos dentro de propiedad horizontal como también los predios rurales de vivienda campestre.</t>
  </si>
  <si>
    <t>Industrial</t>
  </si>
  <si>
    <t>Se califica con destino industrial, aquellos predios donde se desarrollan actividades de producción, fabricación, preparación, recuperación, reproducción, ensamblaje, construcción, transformación, tratamiento y manipulación de materias primas para producir bienes o productos materiales y que no estén clasificados dentro de los predios mineros.</t>
  </si>
  <si>
    <t>Infraestructura_Asociada_Produccion_Agropecuaria</t>
  </si>
  <si>
    <t>Se califica con destino infraestructura asociada a la producción agropecuaria, aquellos predios sobre los cuales se encuentra la infraestructura requerida dentro de la actividad agropecuaria y que son de interés para el sector agropecuario, como: bancos de maquinaria, plantas de almacenamiento, centros de acopio, centros de transformación agrícola, mataderos, etc.</t>
  </si>
  <si>
    <t>Infraestructura_Hidraulica</t>
  </si>
  <si>
    <t>Se califica con destino infraestructura hidráulica, aquellos predios sobre los cuales se encuentra establecida infraestructura para controlar, almacenar y conducir un flujo continuo de agua. Incluye los embalses, represas, acueductos, centrales de tratamiento y distribución, alcantarillados, estaciones depuradoras de aguas residenciales y distrito de adecuación de tierras.</t>
  </si>
  <si>
    <t>Infraestructura_Saneamiento_Basico</t>
  </si>
  <si>
    <t>Se califica con destino infraestructura de saneamiento básico, aquellos predios sobre los cuales se encuentra establecida la infraestructura para el saneamiento básico, con excepción del alcantarillado. Incluye los centros de acopio de basura y material reciclable, rellenos sanitarios e incineradoras.</t>
  </si>
  <si>
    <t>Infraestructura_Seguridad</t>
  </si>
  <si>
    <t>Se califica con destino infraestructura de seguridad, aquellos predios sobre los cuales se encuentra establecida infraestructura destina a salvaguardar el orden público. Incluye las estaciones de policía, batallones, cárceles, etc.</t>
  </si>
  <si>
    <t>Infraestructura_Transporte</t>
  </si>
  <si>
    <t>Se califica con destino infraestructura de transporte, aquellos predios en los cuales se encuentra establecida infraestructura para el desarrollo de actividad de transporte, muelles para embarque, desembarque de carga y/o pasajeros, pistas de aterrizaje, torres de control, centros de almacenamiento y venta de combustible, etc. Se exceptúan de estas, aquellas plataformas flotantes y aquellas que se encuentren fuera de la plataforma continental.</t>
  </si>
  <si>
    <t>Institucional</t>
  </si>
  <si>
    <t>Se califica con destino institucional, aquellos predios destinados a la administración y prestación de servicios del Estado tanto de orden nacional como territorial.</t>
  </si>
  <si>
    <t>Mineria_Hidrocarburos</t>
  </si>
  <si>
    <t>Se califica con destino minería e hidrocarburos, aquellos predios donde se hace aprovechamiento directo de los recursos minerales o transformación primaria de los mismos.</t>
  </si>
  <si>
    <t>Lote_Urbanizable_No_Urbanizado</t>
  </si>
  <si>
    <t>Se califica con este destino, aquellos predios urbanos no construidos, ubicados en terrenos de grandes áreas que no han sido desarrollados y sin restricción legal para adelantar algún tipo de desarrollo urbanístico.</t>
  </si>
  <si>
    <t>Lote_Urbanizado_No_Construido</t>
  </si>
  <si>
    <t>Se califica con este destino, aquellos predios urbanos no construidos, ubicados en zonas urbanizadas, es decir, con infraestructura de servicios públicos e infraestructura vial.</t>
  </si>
  <si>
    <t>Lote_No_Urbanizable</t>
  </si>
  <si>
    <t>Se califica con este destino, aquellos predios urbanos o rurales clasificados por el instrumento de planeación como suelo de protección, también se incluyen los predios con afectación, por ejemplo los utilizados como servidumbres para los servicios públicos.</t>
  </si>
  <si>
    <t>Pecuario</t>
  </si>
  <si>
    <t>Se califica con destino pecuario, aquellos predios destinados a la cría, beneficio y aprovechamiento de especies de animales no domésticos, para el consumo humano (productos cárnicos y lácteos), uso artesanal (lana, cuero, plumas, etc.) y conservación de fauna (zoocría).</t>
  </si>
  <si>
    <t>Recreacional</t>
  </si>
  <si>
    <t>Se califica con destino recreacional, aquellos predios que corresponden a equipamientos deportivos y recreativos, parques de propiedad privada o pública, clubes, generando bienestar físico y social.</t>
  </si>
  <si>
    <t>Religioso</t>
  </si>
  <si>
    <t>Se califica con destino religioso, aquellos predios cuya finalidad es el culto religioso público, incluye las parroquias, basílicas, catedrales, santuarios, capillas, colegiatas, monasterios, conventos y seminarios.</t>
  </si>
  <si>
    <t>Salubridad</t>
  </si>
  <si>
    <t>Se califica con destino salubridad, aquellos predios destinados al cuidado de la salud de los ciudadanos, incluye los hospitales, centros de salud, clínicas, laboratorios y consultorios que prestan el servicio de salud tanto carácter público o privado.</t>
  </si>
  <si>
    <t>Servicios_Funerarios</t>
  </si>
  <si>
    <t>Se califica con destino infraestructura de servicios funerarios, aquellos predios que prestan servicios de velatorio, cremación y entierro de personas fallecidas, incluye los cementerios, funerarias, morgue, anfiteatros, crematorios y demás relacionados.</t>
  </si>
  <si>
    <t>Uso_Publico</t>
  </si>
  <si>
    <t>Se califica con destino uso público, aquellos predios urbanos o rurales, que conforman el espacio público, como las zonas verdes, alamedas, plazas (no se incluyen las plazas de mercado), plazoletas parques, cuerpos de agua, áreas de control y protección ambiental, túneles, vías, ciclorutas, glorietas, etc.</t>
  </si>
  <si>
    <t>Ext_Direccion</t>
  </si>
  <si>
    <t>Codigo_Postal</t>
  </si>
  <si>
    <t>Código postal.</t>
  </si>
  <si>
    <t>Clase_Via_Principal</t>
  </si>
  <si>
    <t>Valores: Avenida_Calle: AC,
 Avenida_Carrera: AK,
Avenida: AV,
 Autopista: AUT,
 Circunvalar: CRV
Calle: CL,
Carrera: CR,
Diagonal: DG,
Transversal: TV,
Circular: CIR.</t>
  </si>
  <si>
    <t>Valor_Via_Principal</t>
  </si>
  <si>
    <t>Numero que acompaña a la clase de vía principal.</t>
  </si>
  <si>
    <t>Letra_Via_Principal</t>
  </si>
  <si>
    <t>Letra que acompaña al valor de la vía principal.</t>
  </si>
  <si>
    <t>Sector_Ciudad</t>
  </si>
  <si>
    <t>Valores: Norte, Sur, Este, Oeste.</t>
  </si>
  <si>
    <t>Valor_Via_Generadora</t>
  </si>
  <si>
    <t>Numero de la vía generadora.</t>
  </si>
  <si>
    <t>Letra_Via_Generadora</t>
  </si>
  <si>
    <t>Letra que acompaña al valor de la vía generadora.</t>
  </si>
  <si>
    <t>Numero_Predio</t>
  </si>
  <si>
    <t>Distancia entre la vía generadora al acceso del predio.</t>
  </si>
  <si>
    <t>Sector_Predio</t>
  </si>
  <si>
    <t>Sector de donde se localiza el predio, ejemplo: Norte, Sur, Este, Oeste.</t>
  </si>
  <si>
    <t>Complemento</t>
  </si>
  <si>
    <t>Complemento de la dirección.</t>
  </si>
  <si>
    <t>Nombre_Predio</t>
  </si>
  <si>
    <t>Nombre del predio, ejemplo, nombre de los predios en el sector rural. Este valor se diligencia cuando el tipo de dirección es "No_Estructurada".</t>
  </si>
  <si>
    <t>Dom_TipologiaTipo</t>
  </si>
  <si>
    <t>Residencial.Tipo_1A</t>
  </si>
  <si>
    <t>Armazón: Madera; Muro: Material de desecho, esterilla; Cubierta material desecho, telas asfálticas; Pisos tierra pisada.</t>
  </si>
  <si>
    <t>Residencial.Tipo_1B</t>
  </si>
  <si>
    <t>Armazón: Madera; Muro: Material de bahareque, adobe, tapia; Cubierta: Zinc, teja de barro, Eternit rustico; Pisos: Cemento, madera burda</t>
  </si>
  <si>
    <t>Residencial.Tipo_2A</t>
  </si>
  <si>
    <t>Armazón: Madera; Muros en madera; Cubierta: Zinc, teja de barro, Eternit rustico; Cubrimiento de Muros: Pañete, papel común, ladrillo presado; Pisos: Cemento, madera burda</t>
  </si>
  <si>
    <t>Residencial.Tipo_2B</t>
  </si>
  <si>
    <t>Armazón: Prefabricado; Muros: Concreto prefabricado; Cubierta: Zinc, teja de barro, Eternit rustico; cubrimiento de Muros: Pañete, papel común, ladrillo presado; Pisos: Baldosa común de cemento, Tablón ladrillo.</t>
  </si>
  <si>
    <t>Residencial.Tipo_3A</t>
  </si>
  <si>
    <t>Armazón: Ladrillo, bloque; Muro: ladrillo, Bloque; Cubierta: Eternit o teja de barro; Cubrimiento de muros: Pañete, papel común, ladrillo prensado; Piso: Baldosa común de cemento, tablón ladrillo.</t>
  </si>
  <si>
    <t>Residencial.Tipo_3B</t>
  </si>
  <si>
    <t>Armazón: Ladrillo, bloque; Muro: ladrillo, Bloque; Cubierta: Azotea, aluminio, placa sencilla con Eternit o teja de barro; Cubrimiento muros: Estuco, cerámica, papel fino; Piso: Baldosa común de cemento, tablón ladrillo.</t>
  </si>
  <si>
    <t>Residencial.Tipo_4A</t>
  </si>
  <si>
    <t>Armazón: Concreto hasta tres pisos, Muro: Bloque, ladrillo; Cubierta: Azotea, aluminio, placa sencilla con Eternit o teja de barro; Cubrimiento muro: estuco, cerámica, papel fino; Piso: Listón machi-embredo.</t>
  </si>
  <si>
    <t>Residencial.Tipo_4B</t>
  </si>
  <si>
    <t>Armazón: Concreto hasta tres pisos, Muro: Bloque, Ladrillo; Cubierta: Azotea, aluminio, placa sencilla con Eternit o teja de barro; Cubrimiento muro: estuco, cerámica, papel fino; Piso: Tableta, caucho, acrílico, granito, baldosa fina.</t>
  </si>
  <si>
    <t>Residencial.Tipo_5A</t>
  </si>
  <si>
    <t>Armazón: Concreto hasta tres pisos; Muro: Bloque, Ladrillo; Cubierta: Azote, Aluminio, placa sencilla con Eternit o teja de barro; Cubrimiento muro: Medra, Piedra ornamental; Piso: Tableta, caucho, acrílico, granito, baldosa fina</t>
  </si>
  <si>
    <t>Residencial.Tipo_5B</t>
  </si>
  <si>
    <t>Armazón: Concreto cuadro y más pisos; Muro: Bloque, Ladrillo; Cubierta: Placa impermeabilizada cubierta lujosa u ornamental; Cubrimiento muro: Mármol, lujoso, otros; Piso: Parquet, alfombra, retal de mármol ( grano pequeño).</t>
  </si>
  <si>
    <t>Residencial.Tipo_6A</t>
  </si>
  <si>
    <t>Armazón: Concreto hasta tres pisos; Muro: Bloque, ladrillo; Cubierta: Placa impermeabilizada cubierta lujosa u ornamental; Cubrimientos muros: Mármol, lujosos otros; Piso: Parquet, alfombra, Retal de mármol ( grano pequeño).</t>
  </si>
  <si>
    <t>Residencial.Tipo_6B</t>
  </si>
  <si>
    <t>Armazón: Concreto cuatro o más pisos; Muro: Bloque, ladrillo; Cubierta: Placa impermeabilizada cubierta lujosa u ornamental; Cubrimientos muros: Mármol, lujosos otros; Piso: Retal de mármol, mármol, otros.</t>
  </si>
  <si>
    <t>Comercial.Barrial_1</t>
  </si>
  <si>
    <t>Armazón: Madera, prefabricado Muros: adobe, bahareque, tapia Cubierta: Zinc, material de desecho, telas asfálticas Fachada: Pobre Cubrimiento de Muros: Sin cubrimiento Pisos: tierra, cemento o madera burda.</t>
  </si>
  <si>
    <t>Comercial.Barrial_2</t>
  </si>
  <si>
    <t>Armazón: Ladrillo, bloque. Muros: Ladrillo y Bloque. Cubierta: Zinc, Eternit o teja de barro Fachada: pobre o sencilla. Cubrimiento de Muros: Pañete, papel común, ladrillo prensado, estuco, cerámica Pisos: cemento Baldosa común de cemento, Tablón Ladrillo</t>
  </si>
  <si>
    <t>Comercial.Sectorial_1</t>
  </si>
  <si>
    <t>Armazón: Madera, Ladrilló, Bloque Muros: Madera, Bloque, concreto prefabricado Cubierta: Eternit o teja de barro, Entrepiso, (cubierta provisional) Prefabricado Fachada: Regular. Cubrimiento de Muros: Pañete, papel común, pañete, ladrillo prensado Pisos: Concreto, Listón machi-ambrado, baldosa común</t>
  </si>
  <si>
    <t>Comercial.Sectorial_2</t>
  </si>
  <si>
    <t>Armazón: Concreto hasta 3 pisos. Muros: Bloque, ladrillo Cubierta: Eternit, teja de barro placa concreto Fachada: Buena. Cubrimiento de Muros: Ladrillo a la vista, Estuco, cerámica, papel fino Pisos: Tableta, caucho, acrílico, granito, baldosa fina</t>
  </si>
  <si>
    <t>Comercial.Especializado_1</t>
  </si>
  <si>
    <t>Armazón: Concreto hasta 3 pisos Muros: Concreto prefabricado, bloque o ladrillo Cubierta: Azotea, aluminio, placa sencilla con Eternit o teja de barro Fachada: Buena. Cubrimiento de Muros: Ladrillo a la vista, Estuco, Madera, piedra ornamental Pisos: Parquet, alfombra, retal de mármol ( grano pequeño); Cerámica fina Fachada: Lujosa</t>
  </si>
  <si>
    <t>Comercial.Especializado_2</t>
  </si>
  <si>
    <t>Armazón: Concreto 4 o más pisos Muros: Bloque ladrillo Cubierta: Placa Impermeabilizada cubierta lujosa u ornamental Cubrimiento de Muros: Mármol, piedra ornamental Estucos especiales, otros lujosos Pisos: Parquet, alfombra, retal de mármol ( grano pequeño); Cerámica fina</t>
  </si>
  <si>
    <t>Industrial.Liviana_1</t>
  </si>
  <si>
    <t>Armazón: Madera, prefabricado Muros: adobe, bahareque, tapia Cerchas: Madera Cubierta: Material de desecho, telas asfálticas Fachada: Pobre Cubrimiento de Muros: Sin cubrimiento Pisos: tierra, cemento o madera burda.</t>
  </si>
  <si>
    <t>Industrial.Liviana_2</t>
  </si>
  <si>
    <t>Armazón: Prefabricado, Ladrillo, bloque. Muros: Prefabricado, Ladrillo, bloque Cubierta: Zinc, Eternit o teja de barro Fachada: pobre o sencilla. Cubrimiento de Muros: Sin, Pañete, papel común, ladrillo prensado, estuco, cerámica Pisos: Cemento Baldosa común de cemento, Tablón Ladrillo.</t>
  </si>
  <si>
    <t>Industrial.Mediana_1</t>
  </si>
  <si>
    <t>Armazón: Muros confinados Ladrillo o bloque Muros: Ladrillo, bloque o concreto prefabricado Cubierta: Entrepiso (cubierta provisional ) Prefabricado, teja Eternit Fachada: Regular. Cubrimiento de Muros: Pañete, papel común, pañete, ladrillo prensado Pisos: Concreto, Listón machi-ambrado, baldosa común.</t>
  </si>
  <si>
    <t>Industrial.Mediana_2</t>
  </si>
  <si>
    <t>Armazón: Concreto hasta 3 pisos. Muros: Bloque, ladrillo Cubierta: teja Eternit, termo acústica o teja de barro Fachada: Buena. Cubrimiento de Muros: Ladrillo a la vista, Estuco, cerámica, papel fino Pisos: Tableta, caucho, acrílico, granito, baldosa fina.</t>
  </si>
  <si>
    <t>Industrial.Pesada_1</t>
  </si>
  <si>
    <t>Armazón: Concreto hasta 3 pisos Muros: Concreto prefabricado, bloque o ladrillo Cubierta: Azotea, aluminio, placa sencilla con Eternit o teja de barro Fachada: Buena. Cubrimiento de Muros: Ladrillo a la vista, Estuco, Madera, piedra ornamental Pisos: Parquet, alfombra, retal de mármol ( grano pequeño); Cerámica fina</t>
  </si>
  <si>
    <t>Industrial.Pesada_2</t>
  </si>
  <si>
    <t>Armazón: Concreto 4 o más pisos Muros: Bloque ladrillo Cubierta: Placa Impermeabilizada cubierta lujosa u ornamental Fachada: Lujosa. Cubrimiento de Muros: Mármol, piedra ornamental Estucos especiales, otros lujosos Pisos: Parquet, alfombra, retal de mármol ( grano pequeño); Cerámica fina</t>
  </si>
  <si>
    <t>Otro</t>
  </si>
  <si>
    <t>Otro tipo de tipología constructiva.</t>
  </si>
  <si>
    <t>Dom_EstadoConservacionTipo</t>
  </si>
  <si>
    <t>Malo</t>
  </si>
  <si>
    <t>Se agrupan en este concepto, aquellas estructuras con el mayor grado de deterioro que se puedan encontrar, en condiciones precarias lo cual las hace prácticamente inhabitables. Generalmente se presenta en construcciones antiguas o con material de muy mala calidad</t>
  </si>
  <si>
    <t>Regular</t>
  </si>
  <si>
    <t>En esta categoría, se clasifican aquellas estructuras que tienen algunos daños menores, (agrietamiento de paredes, hundimiento de pisos, etc.) pero que todavía se encuentran en condiciones aceptables, sin peligros eminentes o exigencias imperativa de reparaciones inmediatas. Se presenta con frecuencia en construcciones más o menos antiguas o materiales de regular calidad.</t>
  </si>
  <si>
    <t>Bueno</t>
  </si>
  <si>
    <t>Se calificarán como tales, aquellas estructuras, no necesariamente nuevas, que se hallan cumpliendo a cabalidad con la función para las que fueron construidas, no demuestran deterioro, al menos visibles, y por efectos de uso se encuentran solamente un tanto deslucidas y sus materiales son de buena calidad.</t>
  </si>
  <si>
    <t>Excelente</t>
  </si>
  <si>
    <t>Se define en este grado, el estado de conservación de una estructura nueva en la que no se vislumbra deterioro, no se observa daño y en la cual los materiales y los acabados son de óptima calidad.</t>
  </si>
  <si>
    <t>Dom_TopografiaZonaTipo</t>
  </si>
  <si>
    <t>Plano</t>
  </si>
  <si>
    <t>Facilita suministrar servicios públicos, realizar obras de urbanismo o construir una edificación.</t>
  </si>
  <si>
    <t>Inclinado</t>
  </si>
  <si>
    <t>Las construcciones ubicadas dentro de esta zona han tenido una mayor dificultad para ser construidas</t>
  </si>
  <si>
    <t>Empinado</t>
  </si>
  <si>
    <t>Se presenta máxima dificultad para el suministro de servicios públicos, edificar, etc. generando altos costos.</t>
  </si>
  <si>
    <t>Dom_InfluenciaVialUrbanaTipo</t>
  </si>
  <si>
    <t>Pavimentadas</t>
  </si>
  <si>
    <t>Aquella zona en la cual las vías vehiculares han sido revestidas de asfalto o pavimento.</t>
  </si>
  <si>
    <t>Sin_Pavimentar</t>
  </si>
  <si>
    <t>Zona donde las vías realizadas no han sido revestidas por ningún material resistente al uso y la intemperie.</t>
  </si>
  <si>
    <t>Peatonales</t>
  </si>
  <si>
    <t>Sin_Vias</t>
  </si>
  <si>
    <t>Aquellas zonas donde no se ha realizado el trazado de vías.</t>
  </si>
  <si>
    <t>Dom_ServiciosPublicosTipo</t>
  </si>
  <si>
    <t>Sin_Servicios</t>
  </si>
  <si>
    <t>Corresponde a las áreas dentro del perímetro urbano (cabecera y corregimientos) donde no existen servicios públicos básicos.</t>
  </si>
  <si>
    <t>Servicios_Basicos_incompletos</t>
  </si>
  <si>
    <t>Aquella que carece de por lo menos uno de los servicios básicos. La existencia de otro tipo de servicios no mejora la condición en cuanto a servicios básicos.</t>
  </si>
  <si>
    <t>Servicios_Basicos_Completos</t>
  </si>
  <si>
    <t>Se califica en aquellos sectores que cuentan con la prestación de los tres servicios básicos (acueducto, energía y alcantarillado), que cuente con la infraestructura para garantizar la prestación del servicio.</t>
  </si>
  <si>
    <t>Servicios_Basicos_Y_Complementarios</t>
  </si>
  <si>
    <t>Sectores que además de contar con acueducto, energía y alcantarillado, poseen la prestación de uno, o más servicios adicionales tales como: teléfono, gas, alumbrado público, alcantarillado de aguas lluvias, etc.</t>
  </si>
  <si>
    <t>Dom_UsoSueloUrbanoTipo</t>
  </si>
  <si>
    <t>Residencial</t>
  </si>
  <si>
    <t>Es aquel espacio geográfico dedicado a la vivienda, de tipo unifamiliar o multifamiliar.</t>
  </si>
  <si>
    <t>Es aquel espacio geográfico dedicado a la venta de mercancías (almacenes, centros comerciales, aeropuerto, etc.) y de servicios (oficinas, hoteles, restaurantes, bancos, consultorios, etc.). Se incluyen corredores comerciales en barrios residenciales.</t>
  </si>
  <si>
    <t>Es aquel espacio geográfico dedicado a la transformación de materia prima en mercancías y a la reparación de maquinaria y equipos, con las características propias de una industria (Altura mayor de 2.50 mts, columnas, vigas perimetrales, cerchas, existencia puente grúas, Luces mayores de 6 mts). Incluye zonas de almacenamiento y zonas francas portuarias y aeroportuarias.</t>
  </si>
  <si>
    <t>Es aquel espacio geográfico dedicado a la administración y prestación de servicios del estado (hospitales, colegios, alcaldía, canchas deportivas, etc.) y que no se encuentra clasificado en otros usos.</t>
  </si>
  <si>
    <t>Lote</t>
  </si>
  <si>
    <t>Es aquel espacio geográfico no construido que puede contar o no con algún tipo de obra de urbanismo. Dentro de esta clasificación se incluirán los cuerpos de agua, los cuales se consideran como lotes no urbanizables.</t>
  </si>
  <si>
    <t>Dom_DisponibilidadAguaTipo</t>
  </si>
  <si>
    <t>Zonas_Con_Aguas_Abundantes</t>
  </si>
  <si>
    <t>Se consideran aquellas que poseen sistemas de riego bien sea por gravedad o por sistemas mecánicos, o afiliadas a distritos de riego de manera que disponen de agua en forma permanente durante todo el año.</t>
  </si>
  <si>
    <t>Zonas_Con_Aguas_Suficientes</t>
  </si>
  <si>
    <t>Son aquellas zonas que poseen fuentes de aguas en forma permanente, bien sean corrientes o estancadas, pero que debido a limitaciones de pendiente se dificulta su utilización para fines de riego o aprovechamiento ganadero.</t>
  </si>
  <si>
    <t>Zonas_Con_Aguas_Escasas</t>
  </si>
  <si>
    <t>Son aquellas zonas con fuentes de aguas permanentes o semipermanentes pero con limitaciones de aprovechamiento a causa de la pendiente de terreno o a causa de la calidad de los suelos que limitan su uso agrícola o ganadero</t>
  </si>
  <si>
    <t>Zonas_Sin_Aguas</t>
  </si>
  <si>
    <t>Donde solo hay posibilidades de agua en el invierno o zonas de pendientes mayores al 50%, en las cuales el aprovechamiento se hace imposible.</t>
  </si>
  <si>
    <t>Dom_UsoSueloRuralTipo</t>
  </si>
  <si>
    <t>Edificios</t>
  </si>
  <si>
    <t>Comprende la agrupación de edificaciones de tipo habitacional, industrial, comercial e institucional que no estén consideradas dentro del plan de ordenamiento territorial como parte de la zona urbana ej. Caseríos, zonas industriales, universidades.</t>
  </si>
  <si>
    <t>Otras_Construcciones</t>
  </si>
  <si>
    <t>Comprende construcciones de otro tipo diferente a edificios por su tamaño o actividad ej., represas, aeropuertos, centrales hidroeléctricas, estadios, plazas de toros, bases militares.</t>
  </si>
  <si>
    <t>Parques_Naturales</t>
  </si>
  <si>
    <t>Son áreas naturales definidas y delimitadas oficialmente poco transformadas por la explotación u ocupación humana que, en razón a la belleza de sus paisajes, la representatividad de sus ecosistemas o la singularidad de su flora, de su fauna o de sus formaciones geomorfológicas, poseen unos valores ecológicos, estéticos, educativos y científicos cuya conservación merece una atención preferente.</t>
  </si>
  <si>
    <t>Cultivos_De_Caracter_Permanente</t>
  </si>
  <si>
    <t>Aquellos cultivos tales como café, palma africana, palma africana, palma de coco, caucho, cítricos, arboles maderables, aguacate, guayabo, mango, manzano, pera, durazno, uva, noli, fique, cacao y cualquier otro cultivo que exija un periodo superior a tres años entre su siembre y su cosecha, o cuyo periodo de producción se prolongue por mas de cinco años.</t>
  </si>
  <si>
    <t>Tierras_De_Labor_Irrigadas</t>
  </si>
  <si>
    <t>Aquellas tierras que para su producción cuentan con aplicación de agua, que de suyo falta para el desarrollo del cultivo, mediante la utilización de un sistema de irrigación.</t>
  </si>
  <si>
    <t>Tierras_De_Labor_No_Irrigadas</t>
  </si>
  <si>
    <t>Aquellas tierras que carecen de un sistema de irrigación y que para su producción dependen exclusivamente del agua lluvia ciada sobre ellas.</t>
  </si>
  <si>
    <t>Tierras_Con_Maleza</t>
  </si>
  <si>
    <t>Aquellas tierras en donde predominen las plantaciones espontaneas de arbustos que obstaculizan la utilización económica del suelo</t>
  </si>
  <si>
    <t>Tierras_Improductivas</t>
  </si>
  <si>
    <t>Aquellas áreas que por sus condiciones topográficas, climatológicas y que en general por las características físicas o químicas de sus suelos no puedan ser explotadas.</t>
  </si>
  <si>
    <t>Pastos_Naturales</t>
  </si>
  <si>
    <t>Conjuntos de herbáceos forrajeros producidos espontáneamente por el suelo.</t>
  </si>
  <si>
    <t>Pastos_Artificales</t>
  </si>
  <si>
    <t>Conjunto de cultivos herbáceos forrajeros no producidos espontáneamente</t>
  </si>
  <si>
    <t>Pastos_Naturales_Mejorados</t>
  </si>
  <si>
    <t>Pastos naturales sometidos a prácticas técnicas de uso y manejo</t>
  </si>
  <si>
    <t>Bosques</t>
  </si>
  <si>
    <t>Conjunto de plantaciones naturales o de cultivos de arboles de igual o distinta naturaleza que están en explotación o pueden ser explotados.</t>
  </si>
  <si>
    <t>Selvas_Virgenes</t>
  </si>
  <si>
    <t>Terrenos extensos, incultos y abundantemente poblados con vegetación arbórea y nativa.</t>
  </si>
  <si>
    <t>Cuerpos_De_Agua</t>
  </si>
  <si>
    <t>Comprende aquellas área cubiertas de agua con carácter permanente que puede ser de origen natural o artificial.</t>
  </si>
  <si>
    <t>Condiciones_Especiales</t>
  </si>
  <si>
    <t>Comprende aquellas edificaciones que por sus características especiales por actividad son diferentes a las anteriores ej. Condominios, parcelaciones, parques recreacionales.</t>
  </si>
  <si>
    <t>Mixto</t>
  </si>
  <si>
    <t>Al clasificar usos mixtos, se agrupan máximo 2 tipos de uso que son de difícil separación por la escala de mapeo, considérelos como, una unidad miscelánea pero destaque el uso dominante designándolo con un número fraccionario en que el numerador sea el elemento dominante</t>
  </si>
  <si>
    <t>INSTRUCCIONES PARA DILIGENCIAR LOS FORMATOS DE ENTREGA DE DATOS AL OBSERVATORIO INMOBILIARIO NACIONAL</t>
  </si>
  <si>
    <t>OBSERVACIONES GENERALES</t>
  </si>
  <si>
    <t xml:space="preserve">El formato de entrega de datos al observatorio nacional debe ser diligenciado teniendo en cuenta el siguiente diccionario de datos en el cual se especifican cada una de las tablas o capas geograficas que deben ser entregadas por parte de los usuarios. </t>
  </si>
  <si>
    <r>
      <t xml:space="preserve">Los Usuarios al momento de reportar la información al Observatorio Nacional deben seguir la siguiente estructura:
</t>
    </r>
    <r>
      <rPr>
        <b/>
        <sz val="11"/>
        <color theme="1"/>
        <rFont val="Calibri"/>
        <family val="2"/>
        <scheme val="minor"/>
      </rPr>
      <t>NOTA: PARA LOS CAMPOS DE TIPO NUMERICO EN EL CUAL NO SE TENGA INFORMACIÓN SE DEBE DILIGENCIAR CON EL NUMERO CERO (0)</t>
    </r>
    <r>
      <rPr>
        <sz val="11"/>
        <color theme="1"/>
        <rFont val="Calibri"/>
        <family val="2"/>
        <scheme val="minor"/>
      </rPr>
      <t xml:space="preserve">
</t>
    </r>
    <r>
      <rPr>
        <b/>
        <sz val="11"/>
        <color theme="1"/>
        <rFont val="Calibri"/>
        <family val="2"/>
        <scheme val="minor"/>
      </rPr>
      <t xml:space="preserve">OPCIÓN 1 : </t>
    </r>
    <r>
      <rPr>
        <sz val="11"/>
        <color theme="1"/>
        <rFont val="Calibri"/>
        <family val="2"/>
        <scheme val="minor"/>
      </rPr>
      <t xml:space="preserve">Para esta opción el usuario debe suministrar la información de las 3 entidades en formato Excel(xlsm), teniendo en cuenta la estructura del diccionario de datos y el ejemplo de presentación de tablas para el observatorio nacional que puede ser descargado en la página web del observatorio
</t>
    </r>
    <r>
      <rPr>
        <b/>
        <sz val="11"/>
        <color theme="1"/>
        <rFont val="Calibri"/>
        <family val="2"/>
        <scheme val="minor"/>
      </rPr>
      <t xml:space="preserve">TABLAS </t>
    </r>
    <r>
      <rPr>
        <sz val="11"/>
        <color theme="1"/>
        <rFont val="Calibri"/>
        <family val="2"/>
        <scheme val="minor"/>
      </rPr>
      <t xml:space="preserve">
• Tabla Ofertas NPH: En esta tabla se almacena la informacion alfanumerica asociada a las ofertas. 
• Tabla Ofertas PH: En esta tabla se almacena la informacion alfanumerica asociada a las ofertas.
• Tabla Ofertas Rural: En esta tabla se almacena la informacion alfanumerica asociada a las ofertas.</t>
    </r>
  </si>
  <si>
    <t>En el diccionario de datos se debe tener en cuenta que  algunos campos son obligatorios, otros  son condicionales  otros opcionales para saber en que momento diligenciar dicho campo favor seguir las siguientes especificaciones.</t>
  </si>
  <si>
    <t xml:space="preserve">El campo tiene que estar diligenciado obligatoriamente. </t>
  </si>
  <si>
    <t>El campo se debe diligenciar o no teniendo en cuenta si la información aplica para los siguientes casos:
* Según la coherencia conceptual o lógica:
- Cuando el diligenciamiento del campo depende de lo que se haya diligenciado en otro campo.
- Por las relaciones entre una capa geográfica con otra capa geográfica o entre una capa geográfica y una tabla.
Ejemplos: Campos especificos para los predios bajo el regimen de propiedad Horizontal PH</t>
  </si>
  <si>
    <t xml:space="preserve">El campo puede estar diligenciado o no. </t>
  </si>
  <si>
    <t>NUMERO PREDIAL ANTIGUO</t>
  </si>
  <si>
    <t>TIPO DE AVALUO</t>
  </si>
  <si>
    <t>SECTOR CATASTRAL</t>
  </si>
  <si>
    <t>MANZANA O VEREDA</t>
  </si>
  <si>
    <t>PREDIO</t>
  </si>
  <si>
    <t>CONDICION DEL PREDIO</t>
  </si>
  <si>
    <t>Codigo Divipola DANE</t>
  </si>
  <si>
    <t>00-Rural</t>
  </si>
  <si>
    <t>Division de zonas establecidas por cada municipio o catastro</t>
  </si>
  <si>
    <t>Si es urbano sera el numero de la manzana, de ser rural sera el numero de la vereda</t>
  </si>
  <si>
    <t>Numero del predio dentro de la manzana o vereda</t>
  </si>
  <si>
    <t xml:space="preserve">000 - No PH
Desde 900 hasta 999 - PH
Desde 800 hasta 899 - Condominios
Desde 001 hasta 799 Mejoras 
</t>
  </si>
  <si>
    <t>01-Urbano o cabecera municipal principal</t>
  </si>
  <si>
    <t>02,03,04…- Para el resto de centros poblados</t>
  </si>
  <si>
    <t>ZONA</t>
  </si>
  <si>
    <t>COMUNA</t>
  </si>
  <si>
    <t>BARRIO</t>
  </si>
  <si>
    <t>TERRENO</t>
  </si>
  <si>
    <t>NUMERO DE CONSTRUCCION</t>
  </si>
  <si>
    <t>00-Rural
01-Urbano o cabecera municipal principal
02,03,04…- Para el resto de centros poblados</t>
  </si>
  <si>
    <t>0 - No PH
9 - PH
8 - Condominios
7- Parques y Cementerios
5 - Mejoras
4 - Vias
3 - Bienes de Uso Publico</t>
  </si>
  <si>
    <t>Numero de edificio o torre dentro del terreno</t>
  </si>
  <si>
    <t>Numero de piso dentro del edificio o torre</t>
  </si>
  <si>
    <t>Numero de unidad en PH, codomino o mejora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</si>
</sst>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quot;$&quot;* #,##0_-;\-&quot;$&quot;* #,##0_-;_-&quot;$&quot;* &quot;-&quot;_-;_-@_-"/>
    <numFmt numFmtId="165" formatCode="_ * #,##0.00_ ;_ * \-#,##0.00_ ;_ * &quot;-&quot;??_ ;_ @_ "/>
    <numFmt numFmtId="166" formatCode="_ &quot;$&quot;\ * #,##0.00_ ;_ &quot;$&quot;\ * \-#,##0.00_ ;_ &quot;$&quot;\ * &quot;-&quot;??_ ;_ @_ "/>
    <numFmt numFmtId="167" formatCode="_(&quot;$&quot;\ * #,##0_);_(&quot;$&quot;\ * \(#,##0\);_(&quot;$&quot;\ * &quot;-&quot;_);_(@_)"/>
    <numFmt numFmtId="168" formatCode="_(&quot;$&quot;\ * #,##0.00_);_(&quot;$&quot;\ * \(#,##0.00\);_(&quot;$&quot;\ * &quot;-&quot;??_);_(@_)"/>
    <numFmt numFmtId="169" formatCode="_-&quot;$&quot;* #,##0.00_-;\-&quot;$&quot;* #,##0.00_-;_-&quot;$&quot;* &quot;-&quot;??_-;_-@_-"/>
    <numFmt numFmtId="170" formatCode="_-* #,##0.00\ _€_-;\-* #,##0.00\ _€_-;_-* &quot;-&quot;??\ _€_-;_-@_-"/>
    <numFmt numFmtId="171" formatCode="_ * #,##0_ ;_ * \-#,##0_ ;_ * &quot;-&quot;_ ;_ @_ "/>
    <numFmt numFmtId="172" formatCode="&quot;$&quot;\ #,##0.00"/>
    <numFmt numFmtId="173" formatCode="_ [$€-2]\ * #,##0.00_ ;_ [$€-2]\ * \-#,##0.00_ ;_ [$€-2]\ * &quot;-&quot;??_ "/>
    <numFmt numFmtId="174" formatCode="&quot;$&quot;\ #,##0.00;[Red]&quot;$&quot;\ #,##0.00"/>
  </numFmts>
  <fonts count="34">
    <font>
      <sz val="11"/>
      <color theme="1"/>
      <name val="Calibri"/>
      <family val="2"/>
      <scheme val="minor"/>
    </font>
    <font>
      <sz val="11"/>
      <color theme="1"/>
      <name val="Calibri"/>
      <family val="2"/>
      <scheme val="minor"/>
    </font>
    <font>
      <b/>
      <sz val="11"/>
      <color theme="1"/>
      <name val="Calibri"/>
      <family val="2"/>
      <scheme val="minor"/>
    </font>
    <font>
      <sz val="11"/>
      <color theme="1"/>
      <name val="Swis721 LtEx BT"/>
      <family val="2"/>
    </font>
    <font>
      <sz val="10"/>
      <name val="Arial"/>
      <family val="2"/>
    </font>
    <font>
      <u/>
      <sz val="10"/>
      <color theme="10"/>
      <name val="Arial"/>
      <family val="2"/>
    </font>
    <font>
      <sz val="12"/>
      <name val="Arial"/>
      <family val="2"/>
    </font>
    <font>
      <sz val="11"/>
      <color indexed="8"/>
      <name val="Calibri"/>
      <family val="2"/>
    </font>
    <font>
      <b/>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sz val="10"/>
      <name val="Courier"/>
      <family val="3"/>
    </font>
    <font>
      <u/>
      <sz val="11"/>
      <color theme="10"/>
      <name val="Calibri"/>
      <family val="2"/>
      <scheme val="minor"/>
    </font>
    <font>
      <sz val="11"/>
      <color indexed="8"/>
      <name val="Arial"/>
      <family val="2"/>
    </font>
    <font>
      <sz val="10"/>
      <color indexed="8"/>
      <name val="Trebuchet MS"/>
      <family val="2"/>
    </font>
    <font>
      <b/>
      <sz val="10"/>
      <color indexed="8"/>
      <name val="Trebuchet MS"/>
      <family val="2"/>
    </font>
    <font>
      <b/>
      <i/>
      <sz val="10"/>
      <color indexed="8"/>
      <name val="Trebuchet MS"/>
      <family val="2"/>
    </font>
    <font>
      <b/>
      <i/>
      <u/>
      <sz val="10"/>
      <color indexed="8"/>
      <name val="Trebuchet MS"/>
      <family val="2"/>
    </font>
    <font>
      <i/>
      <sz val="10"/>
      <color indexed="8"/>
      <name val="Trebuchet MS"/>
      <family val="2"/>
    </font>
    <font>
      <b/>
      <sz val="14"/>
      <color theme="1"/>
      <name val="Calibri"/>
      <family val="2"/>
      <scheme val="minor"/>
    </font>
    <font>
      <u/>
      <sz val="10"/>
      <color theme="4"/>
      <name val="Trebuchet MS"/>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3"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double">
        <color indexed="64"/>
      </left>
      <right/>
      <top/>
      <bottom/>
      <diagonal/>
    </border>
    <border>
      <left/>
      <right/>
      <top style="double">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174">
    <xf numFmtId="0" fontId="0" fillId="0" borderId="0"/>
    <xf numFmtId="0" fontId="3" fillId="0" borderId="0"/>
    <xf numFmtId="0" fontId="4" fillId="0" borderId="0"/>
    <xf numFmtId="165" fontId="4" fillId="0" borderId="0" applyFont="0" applyFill="0" applyBorder="0" applyAlignment="0" applyProtection="0"/>
    <xf numFmtId="166" fontId="4" fillId="0" borderId="0" applyFont="0" applyFill="0" applyBorder="0" applyAlignment="0" applyProtection="0"/>
    <xf numFmtId="9" fontId="4" fillId="0" borderId="0" applyFont="0" applyFill="0" applyBorder="0" applyAlignment="0" applyProtection="0"/>
    <xf numFmtId="0" fontId="1" fillId="0" borderId="0"/>
    <xf numFmtId="0" fontId="5" fillId="0" borderId="0" applyNumberFormat="0" applyFill="0" applyBorder="0" applyAlignment="0" applyProtection="0"/>
    <xf numFmtId="164" fontId="4" fillId="0" borderId="0" applyFont="0" applyFill="0" applyBorder="0" applyAlignment="0" applyProtection="0"/>
    <xf numFmtId="41" fontId="4" fillId="0" borderId="0" applyFont="0" applyFill="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6" fillId="3" borderId="0" applyNumberFormat="0" applyBorder="0" applyAlignment="0" applyProtection="0"/>
    <xf numFmtId="0" fontId="10" fillId="4" borderId="0" applyNumberFormat="0" applyBorder="0" applyAlignment="0" applyProtection="0"/>
    <xf numFmtId="0" fontId="11" fillId="20" borderId="2" applyNumberFormat="0" applyAlignment="0" applyProtection="0"/>
    <xf numFmtId="0" fontId="11" fillId="20" borderId="2" applyNumberFormat="0" applyAlignment="0" applyProtection="0"/>
    <xf numFmtId="0" fontId="12" fillId="21" borderId="3" applyNumberFormat="0" applyAlignment="0" applyProtection="0"/>
    <xf numFmtId="0" fontId="13" fillId="0" borderId="4" applyNumberFormat="0" applyFill="0" applyAlignment="0" applyProtection="0"/>
    <xf numFmtId="0" fontId="12" fillId="21" borderId="3" applyNumberFormat="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6" fillId="0" borderId="0" applyFont="0" applyFill="0" applyBorder="0" applyAlignment="0" applyProtection="0"/>
    <xf numFmtId="168" fontId="7" fillId="0" borderId="0" applyFont="0" applyFill="0" applyBorder="0" applyAlignment="0" applyProtection="0"/>
    <xf numFmtId="16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14" fillId="0" borderId="0" applyNumberFormat="0" applyFill="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5" fillId="7" borderId="2" applyNumberFormat="0" applyAlignment="0" applyProtection="0"/>
    <xf numFmtId="173" fontId="4" fillId="0" borderId="0" applyFont="0" applyFill="0" applyBorder="0" applyAlignment="0" applyProtection="0"/>
    <xf numFmtId="173" fontId="4" fillId="0" borderId="0" applyFont="0" applyFill="0" applyBorder="0" applyAlignment="0" applyProtection="0"/>
    <xf numFmtId="0" fontId="20" fillId="0" borderId="0" applyNumberFormat="0" applyFill="0" applyBorder="0" applyAlignment="0" applyProtection="0"/>
    <xf numFmtId="0" fontId="10" fillId="4" borderId="0" applyNumberFormat="0" applyBorder="0" applyAlignment="0" applyProtection="0"/>
    <xf numFmtId="0" fontId="22" fillId="0" borderId="5" applyNumberFormat="0" applyFill="0" applyAlignment="0" applyProtection="0"/>
    <xf numFmtId="0" fontId="23" fillId="0" borderId="6"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16" fillId="3" borderId="0" applyNumberFormat="0" applyBorder="0" applyAlignment="0" applyProtection="0"/>
    <xf numFmtId="0" fontId="15" fillId="7" borderId="2" applyNumberFormat="0" applyAlignment="0" applyProtection="0"/>
    <xf numFmtId="0" fontId="13" fillId="0" borderId="4" applyNumberFormat="0" applyFill="0" applyAlignment="0" applyProtection="0"/>
    <xf numFmtId="165" fontId="4" fillId="0" borderId="0" applyFont="0" applyFill="0" applyBorder="0" applyAlignment="0" applyProtection="0"/>
    <xf numFmtId="165" fontId="4" fillId="0" borderId="0" applyFont="0" applyFill="0" applyBorder="0" applyAlignment="0" applyProtection="0"/>
    <xf numFmtId="43" fontId="7" fillId="0" borderId="0" applyFont="0" applyFill="0" applyBorder="0" applyAlignment="0" applyProtection="0"/>
    <xf numFmtId="170" fontId="4" fillId="0" borderId="0" applyFont="0" applyFill="0" applyBorder="0" applyAlignment="0" applyProtection="0"/>
    <xf numFmtId="0" fontId="7" fillId="22" borderId="0" applyNumberFormat="0" applyBorder="0" applyAlignment="0" applyProtection="0"/>
    <xf numFmtId="43" fontId="1"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6" fontId="4" fillId="0" borderId="0" applyFont="0" applyFill="0" applyBorder="0" applyAlignment="0" applyProtection="0"/>
    <xf numFmtId="168" fontId="7"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1" fillId="0" borderId="0" applyFont="0" applyFill="0" applyBorder="0" applyAlignment="0" applyProtection="0"/>
    <xf numFmtId="166" fontId="4" fillId="0" borderId="0" applyFont="0" applyFill="0" applyBorder="0" applyAlignment="0" applyProtection="0"/>
    <xf numFmtId="174" fontId="4" fillId="0" borderId="0" applyFont="0" applyFill="0" applyBorder="0" applyAlignment="0" applyProtection="0"/>
    <xf numFmtId="166" fontId="4" fillId="0" borderId="0" applyFont="0" applyFill="0" applyBorder="0" applyAlignment="0" applyProtection="0"/>
    <xf numFmtId="168" fontId="7" fillId="0" borderId="0" applyFont="0" applyFill="0" applyBorder="0" applyAlignment="0" applyProtection="0"/>
    <xf numFmtId="0" fontId="17" fillId="23" borderId="0" applyNumberFormat="0" applyBorder="0" applyAlignment="0" applyProtection="0"/>
    <xf numFmtId="0" fontId="24" fillId="0" borderId="0"/>
    <xf numFmtId="0" fontId="7" fillId="0" borderId="0"/>
    <xf numFmtId="0" fontId="4" fillId="0" borderId="0"/>
    <xf numFmtId="0" fontId="4" fillId="0" borderId="0"/>
    <xf numFmtId="0" fontId="4" fillId="0" borderId="0"/>
    <xf numFmtId="0" fontId="7" fillId="0" borderId="0"/>
    <xf numFmtId="0" fontId="4" fillId="0" borderId="0"/>
    <xf numFmtId="171" fontId="6" fillId="0" borderId="0"/>
    <xf numFmtId="0" fontId="6" fillId="0" borderId="0"/>
    <xf numFmtId="0" fontId="7" fillId="0" borderId="0"/>
    <xf numFmtId="0" fontId="4" fillId="0" borderId="0" applyFill="0"/>
    <xf numFmtId="0" fontId="1" fillId="0" borderId="0"/>
    <xf numFmtId="0" fontId="4" fillId="24" borderId="8" applyNumberFormat="0" applyFont="0" applyAlignment="0" applyProtection="0"/>
    <xf numFmtId="0" fontId="4" fillId="24" borderId="8" applyNumberFormat="0" applyFont="0" applyAlignment="0" applyProtection="0"/>
    <xf numFmtId="0" fontId="4" fillId="24" borderId="8" applyNumberFormat="0" applyFont="0" applyAlignment="0" applyProtection="0"/>
    <xf numFmtId="0" fontId="4" fillId="24" borderId="8" applyNumberFormat="0" applyFont="0" applyAlignment="0" applyProtection="0"/>
    <xf numFmtId="0" fontId="4" fillId="24" borderId="8" applyNumberFormat="0" applyFont="0" applyAlignment="0" applyProtection="0"/>
    <xf numFmtId="0" fontId="18" fillId="20" borderId="9" applyNumberFormat="0" applyAlignment="0" applyProtection="0"/>
    <xf numFmtId="9" fontId="4"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8" fillId="20" borderId="9"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5" applyNumberFormat="0" applyFill="0" applyAlignment="0" applyProtection="0"/>
    <xf numFmtId="0" fontId="23" fillId="0" borderId="6" applyNumberFormat="0" applyFill="0" applyAlignment="0" applyProtection="0"/>
    <xf numFmtId="0" fontId="14" fillId="0" borderId="7" applyNumberFormat="0" applyFill="0" applyAlignment="0" applyProtection="0"/>
    <xf numFmtId="0" fontId="21" fillId="0" borderId="0" applyNumberFormat="0" applyFill="0" applyBorder="0" applyAlignment="0" applyProtection="0"/>
    <xf numFmtId="0" fontId="8" fillId="0" borderId="10" applyNumberFormat="0" applyFill="0" applyAlignment="0" applyProtection="0"/>
    <xf numFmtId="0" fontId="19" fillId="0" borderId="0" applyNumberFormat="0" applyFill="0" applyBorder="0" applyAlignment="0" applyProtection="0"/>
    <xf numFmtId="41" fontId="1" fillId="0" borderId="0" applyFont="0" applyFill="0" applyBorder="0" applyAlignment="0" applyProtection="0"/>
    <xf numFmtId="0" fontId="25" fillId="0" borderId="0" applyNumberFormat="0" applyFill="0" applyBorder="0" applyAlignment="0" applyProtection="0"/>
    <xf numFmtId="16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44" fontId="1" fillId="0" borderId="0" applyFont="0" applyFill="0" applyBorder="0" applyAlignment="0" applyProtection="0"/>
    <xf numFmtId="168" fontId="1" fillId="0" borderId="0" applyFont="0" applyFill="0" applyBorder="0" applyAlignment="0" applyProtection="0"/>
    <xf numFmtId="0" fontId="26" fillId="0" borderId="0"/>
    <xf numFmtId="41" fontId="26" fillId="0" borderId="0" applyFont="0" applyFill="0" applyBorder="0" applyAlignment="0" applyProtection="0"/>
    <xf numFmtId="9" fontId="26" fillId="0" borderId="0" applyFont="0" applyFill="0" applyBorder="0" applyAlignment="0" applyProtection="0"/>
    <xf numFmtId="4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2" fontId="26" fillId="0" borderId="0" applyFont="0" applyFill="0" applyBorder="0" applyAlignment="0" applyProtection="0"/>
  </cellStyleXfs>
  <cellXfs count="54">
    <xf numFmtId="0" fontId="0" fillId="0" borderId="0" xfId="0"/>
    <xf numFmtId="0" fontId="29" fillId="26" borderId="11" xfId="0" applyFont="1" applyFill="1" applyBorder="1" applyAlignment="1">
      <alignment horizontal="left" vertical="center" wrapText="1"/>
    </xf>
    <xf numFmtId="0" fontId="28" fillId="26" borderId="11" xfId="0" applyFont="1" applyFill="1" applyBorder="1" applyAlignment="1">
      <alignment horizontal="center" vertical="center" wrapText="1"/>
    </xf>
    <xf numFmtId="0" fontId="27" fillId="0" borderId="11" xfId="0" applyFont="1" applyBorder="1" applyAlignment="1">
      <alignment horizontal="center" vertical="center" wrapText="1"/>
    </xf>
    <xf numFmtId="0" fontId="27" fillId="27" borderId="11" xfId="0" applyFont="1" applyFill="1" applyBorder="1" applyAlignment="1">
      <alignment horizontal="center" vertical="center" wrapText="1"/>
    </xf>
    <xf numFmtId="0" fontId="27" fillId="27" borderId="11" xfId="0" applyFont="1" applyFill="1" applyBorder="1" applyAlignment="1">
      <alignment horizontal="left" vertical="center" wrapText="1"/>
    </xf>
    <xf numFmtId="0" fontId="27" fillId="25" borderId="11" xfId="0" applyFont="1" applyFill="1" applyBorder="1" applyAlignment="1">
      <alignment horizontal="center" vertical="center" wrapText="1"/>
    </xf>
    <xf numFmtId="0" fontId="27" fillId="25" borderId="11" xfId="0" applyFont="1" applyFill="1" applyBorder="1" applyAlignment="1">
      <alignment horizontal="left" vertical="center" wrapText="1"/>
    </xf>
    <xf numFmtId="0" fontId="27" fillId="28" borderId="11" xfId="0" applyFont="1" applyFill="1" applyBorder="1" applyAlignment="1">
      <alignment horizontal="center" vertical="center" wrapText="1"/>
    </xf>
    <xf numFmtId="0" fontId="27" fillId="28" borderId="11" xfId="0" applyFont="1" applyFill="1" applyBorder="1" applyAlignment="1">
      <alignment horizontal="left" vertical="center" wrapText="1"/>
    </xf>
    <xf numFmtId="0" fontId="25" fillId="0" borderId="0" xfId="156"/>
    <xf numFmtId="0" fontId="29" fillId="30" borderId="11" xfId="0" applyFont="1" applyFill="1" applyBorder="1" applyAlignment="1">
      <alignment horizontal="left" vertical="center" wrapText="1"/>
    </xf>
    <xf numFmtId="0" fontId="28" fillId="30" borderId="11" xfId="0" applyFont="1" applyFill="1" applyBorder="1" applyAlignment="1">
      <alignment horizontal="center" vertical="center" wrapText="1"/>
    </xf>
    <xf numFmtId="0" fontId="25" fillId="27" borderId="11" xfId="156" applyFill="1" applyBorder="1" applyAlignment="1">
      <alignment horizontal="center" vertical="center" wrapText="1"/>
    </xf>
    <xf numFmtId="0" fontId="25" fillId="28" borderId="11" xfId="156" applyFill="1" applyBorder="1" applyAlignment="1">
      <alignment horizontal="center" vertical="center" wrapText="1"/>
    </xf>
    <xf numFmtId="0" fontId="2" fillId="0" borderId="1" xfId="0" applyFont="1" applyBorder="1" applyAlignment="1">
      <alignment horizontal="center" vertical="center"/>
    </xf>
    <xf numFmtId="0" fontId="0" fillId="0" borderId="1" xfId="0" applyBorder="1"/>
    <xf numFmtId="0" fontId="0" fillId="0" borderId="19" xfId="0" applyBorder="1"/>
    <xf numFmtId="0" fontId="0" fillId="0" borderId="0" xfId="0" applyAlignment="1">
      <alignment vertical="center" wrapText="1"/>
    </xf>
    <xf numFmtId="0" fontId="33" fillId="25" borderId="11" xfId="0" applyFont="1" applyFill="1" applyBorder="1" applyAlignment="1">
      <alignment horizontal="center" vertical="center" wrapText="1"/>
    </xf>
    <xf numFmtId="0" fontId="2" fillId="0" borderId="11" xfId="0" applyFont="1" applyBorder="1" applyAlignment="1">
      <alignment horizontal="center" vertical="center" wrapText="1"/>
    </xf>
    <xf numFmtId="0" fontId="2" fillId="29" borderId="17" xfId="0" applyFont="1" applyFill="1" applyBorder="1" applyAlignment="1">
      <alignment horizontal="center"/>
    </xf>
    <xf numFmtId="0" fontId="2" fillId="29" borderId="0" xfId="0" applyFont="1" applyFill="1" applyAlignment="1">
      <alignment horizontal="center"/>
    </xf>
    <xf numFmtId="0" fontId="29" fillId="30" borderId="14" xfId="0" applyFont="1" applyFill="1" applyBorder="1" applyAlignment="1">
      <alignment horizontal="center" vertical="center" wrapText="1"/>
    </xf>
    <xf numFmtId="0" fontId="29" fillId="30" borderId="16" xfId="0" applyFont="1" applyFill="1" applyBorder="1" applyAlignment="1">
      <alignment horizontal="center" vertical="center" wrapText="1"/>
    </xf>
    <xf numFmtId="0" fontId="31" fillId="0" borderId="12" xfId="0" applyFont="1" applyBorder="1" applyAlignment="1">
      <alignment horizontal="left" vertical="center" wrapText="1"/>
    </xf>
    <xf numFmtId="0" fontId="31" fillId="0" borderId="18" xfId="0" applyFont="1" applyBorder="1" applyAlignment="1">
      <alignment horizontal="left" vertical="center" wrapText="1"/>
    </xf>
    <xf numFmtId="0" fontId="31" fillId="0" borderId="13" xfId="0" applyFont="1" applyBorder="1" applyAlignment="1">
      <alignment horizontal="left" vertic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0" fontId="2" fillId="0" borderId="16" xfId="0" applyFont="1" applyBorder="1" applyAlignment="1">
      <alignment horizontal="center" wrapText="1"/>
    </xf>
    <xf numFmtId="0" fontId="30" fillId="0" borderId="12" xfId="0" applyFont="1" applyBorder="1" applyAlignment="1">
      <alignment horizontal="left" vertical="center" wrapText="1"/>
    </xf>
    <xf numFmtId="0" fontId="30" fillId="0" borderId="18" xfId="0" applyFont="1" applyBorder="1" applyAlignment="1">
      <alignment horizontal="left" vertical="center" wrapText="1"/>
    </xf>
    <xf numFmtId="0" fontId="30" fillId="0" borderId="13" xfId="0" applyFont="1" applyBorder="1" applyAlignment="1">
      <alignment horizontal="left" vertical="center" wrapText="1"/>
    </xf>
    <xf numFmtId="0" fontId="28" fillId="0" borderId="12" xfId="0" applyFont="1" applyBorder="1" applyAlignment="1">
      <alignment horizontal="center" vertical="center" wrapText="1"/>
    </xf>
    <xf numFmtId="0" fontId="28" fillId="0" borderId="13" xfId="0" applyFont="1" applyBorder="1" applyAlignment="1">
      <alignment horizontal="center" vertical="center" wrapText="1"/>
    </xf>
    <xf numFmtId="0" fontId="27" fillId="0" borderId="14" xfId="0" applyFont="1" applyBorder="1" applyAlignment="1">
      <alignment horizontal="center" vertical="center" wrapText="1"/>
    </xf>
    <xf numFmtId="0" fontId="27" fillId="0" borderId="15" xfId="0" applyFont="1" applyBorder="1" applyAlignment="1">
      <alignment horizontal="center" vertical="center" wrapText="1"/>
    </xf>
    <xf numFmtId="0" fontId="27" fillId="0" borderId="16" xfId="0" applyFont="1" applyBorder="1" applyAlignment="1">
      <alignment horizontal="center" vertical="center" wrapText="1"/>
    </xf>
    <xf numFmtId="0" fontId="2" fillId="0" borderId="1" xfId="0" applyFont="1" applyBorder="1" applyAlignment="1">
      <alignment horizontal="center"/>
    </xf>
    <xf numFmtId="0" fontId="0" fillId="0" borderId="1" xfId="0" applyBorder="1" applyAlignment="1">
      <alignment horizontal="left" vertical="center" wrapText="1"/>
    </xf>
    <xf numFmtId="0" fontId="0" fillId="0" borderId="20" xfId="0" applyBorder="1" applyAlignment="1">
      <alignment horizontal="center" vertical="center" wrapText="1"/>
    </xf>
    <xf numFmtId="0" fontId="0" fillId="0" borderId="23" xfId="0" applyBorder="1" applyAlignment="1">
      <alignment horizontal="center" vertical="center" wrapText="1"/>
    </xf>
    <xf numFmtId="0" fontId="0" fillId="0" borderId="1" xfId="0" applyBorder="1" applyAlignment="1">
      <alignment horizontal="center"/>
    </xf>
    <xf numFmtId="0" fontId="0" fillId="0" borderId="19" xfId="0" applyBorder="1" applyAlignment="1">
      <alignment horizontal="center"/>
    </xf>
    <xf numFmtId="0" fontId="0" fillId="0" borderId="1" xfId="0" applyBorder="1" applyAlignment="1">
      <alignment horizontal="center" wrapText="1"/>
    </xf>
    <xf numFmtId="0" fontId="0" fillId="0" borderId="0" xfId="0" applyAlignment="1">
      <alignment horizontal="center"/>
    </xf>
    <xf numFmtId="0" fontId="32" fillId="29" borderId="1" xfId="0" applyFont="1" applyFill="1" applyBorder="1" applyAlignment="1">
      <alignment horizontal="center"/>
    </xf>
    <xf numFmtId="0" fontId="0" fillId="0" borderId="20" xfId="0" applyBorder="1" applyAlignment="1">
      <alignment horizontal="center"/>
    </xf>
    <xf numFmtId="0" fontId="0" fillId="0" borderId="1" xfId="0" applyBorder="1" applyAlignment="1">
      <alignment horizontal="center" vertical="center" wrapText="1"/>
    </xf>
    <xf numFmtId="0" fontId="0" fillId="0" borderId="21" xfId="0" applyBorder="1" applyAlignment="1">
      <alignment horizontal="center"/>
    </xf>
    <xf numFmtId="0" fontId="32" fillId="29" borderId="20" xfId="0" applyFont="1" applyFill="1" applyBorder="1" applyAlignment="1">
      <alignment horizontal="center"/>
    </xf>
    <xf numFmtId="0" fontId="32" fillId="29" borderId="22" xfId="0" applyFont="1" applyFill="1" applyBorder="1" applyAlignment="1">
      <alignment horizontal="center"/>
    </xf>
    <xf numFmtId="0" fontId="32" fillId="29" borderId="23" xfId="0" applyFont="1" applyFill="1" applyBorder="1" applyAlignment="1">
      <alignment horizontal="center"/>
    </xf>
  </cellXfs>
  <cellStyles count="174">
    <cellStyle name="20% - Accent1" xfId="10" xr:uid="{00000000-0005-0000-0000-000000000000}"/>
    <cellStyle name="20% - Accent2" xfId="11" xr:uid="{00000000-0005-0000-0000-000001000000}"/>
    <cellStyle name="20% - Accent3" xfId="12" xr:uid="{00000000-0005-0000-0000-000002000000}"/>
    <cellStyle name="20% - Accent4" xfId="13" xr:uid="{00000000-0005-0000-0000-000003000000}"/>
    <cellStyle name="20% - Accent5" xfId="14" xr:uid="{00000000-0005-0000-0000-000004000000}"/>
    <cellStyle name="20% - Accent6" xfId="15" xr:uid="{00000000-0005-0000-0000-000005000000}"/>
    <cellStyle name="20% - Énfasis1 2" xfId="16" xr:uid="{00000000-0005-0000-0000-000006000000}"/>
    <cellStyle name="20% - Énfasis2 2" xfId="17" xr:uid="{00000000-0005-0000-0000-000007000000}"/>
    <cellStyle name="20% - Énfasis3 2" xfId="18" xr:uid="{00000000-0005-0000-0000-000008000000}"/>
    <cellStyle name="20% - Énfasis4 2" xfId="19" xr:uid="{00000000-0005-0000-0000-000009000000}"/>
    <cellStyle name="20% - Énfasis5 2" xfId="20" xr:uid="{00000000-0005-0000-0000-00000A000000}"/>
    <cellStyle name="20% - Énfasis6 2" xfId="21" xr:uid="{00000000-0005-0000-0000-00000B000000}"/>
    <cellStyle name="40% - Accent1" xfId="22" xr:uid="{00000000-0005-0000-0000-00000C000000}"/>
    <cellStyle name="40% - Accent2" xfId="23" xr:uid="{00000000-0005-0000-0000-00000D000000}"/>
    <cellStyle name="40% - Accent3" xfId="24" xr:uid="{00000000-0005-0000-0000-00000E000000}"/>
    <cellStyle name="40% - Accent4" xfId="25" xr:uid="{00000000-0005-0000-0000-00000F000000}"/>
    <cellStyle name="40% - Accent5" xfId="26" xr:uid="{00000000-0005-0000-0000-000010000000}"/>
    <cellStyle name="40% - Accent6" xfId="27" xr:uid="{00000000-0005-0000-0000-000011000000}"/>
    <cellStyle name="40% - Énfasis1 2" xfId="28" xr:uid="{00000000-0005-0000-0000-000012000000}"/>
    <cellStyle name="40% - Énfasis2 2" xfId="29" xr:uid="{00000000-0005-0000-0000-000013000000}"/>
    <cellStyle name="40% - Énfasis3 2" xfId="30" xr:uid="{00000000-0005-0000-0000-000014000000}"/>
    <cellStyle name="40% - Énfasis4 2" xfId="31" xr:uid="{00000000-0005-0000-0000-000015000000}"/>
    <cellStyle name="40% - Énfasis5 2" xfId="32" xr:uid="{00000000-0005-0000-0000-000016000000}"/>
    <cellStyle name="40% - Énfasis6 2" xfId="33" xr:uid="{00000000-0005-0000-0000-000017000000}"/>
    <cellStyle name="60% - Accent1" xfId="34" xr:uid="{00000000-0005-0000-0000-000018000000}"/>
    <cellStyle name="60% - Accent2" xfId="35" xr:uid="{00000000-0005-0000-0000-000019000000}"/>
    <cellStyle name="60% - Accent3" xfId="36" xr:uid="{00000000-0005-0000-0000-00001A000000}"/>
    <cellStyle name="60% - Accent4" xfId="37" xr:uid="{00000000-0005-0000-0000-00001B000000}"/>
    <cellStyle name="60% - Accent5" xfId="38" xr:uid="{00000000-0005-0000-0000-00001C000000}"/>
    <cellStyle name="60% - Accent6" xfId="39" xr:uid="{00000000-0005-0000-0000-00001D000000}"/>
    <cellStyle name="60% - Énfasis1 2" xfId="40" xr:uid="{00000000-0005-0000-0000-00001E000000}"/>
    <cellStyle name="60% - Énfasis2 2" xfId="41" xr:uid="{00000000-0005-0000-0000-00001F000000}"/>
    <cellStyle name="60% - Énfasis3 2" xfId="42" xr:uid="{00000000-0005-0000-0000-000020000000}"/>
    <cellStyle name="60% - Énfasis4 2" xfId="43" xr:uid="{00000000-0005-0000-0000-000021000000}"/>
    <cellStyle name="60% - Énfasis5 2" xfId="44" xr:uid="{00000000-0005-0000-0000-000022000000}"/>
    <cellStyle name="60% - Énfasis6 2" xfId="45" xr:uid="{00000000-0005-0000-0000-000023000000}"/>
    <cellStyle name="Accent1" xfId="46" xr:uid="{00000000-0005-0000-0000-000024000000}"/>
    <cellStyle name="Accent2" xfId="47" xr:uid="{00000000-0005-0000-0000-000025000000}"/>
    <cellStyle name="Accent3" xfId="48" xr:uid="{00000000-0005-0000-0000-000026000000}"/>
    <cellStyle name="Accent4" xfId="49" xr:uid="{00000000-0005-0000-0000-000027000000}"/>
    <cellStyle name="Accent5" xfId="50" xr:uid="{00000000-0005-0000-0000-000028000000}"/>
    <cellStyle name="Accent6" xfId="51" xr:uid="{00000000-0005-0000-0000-000029000000}"/>
    <cellStyle name="Bad" xfId="52" xr:uid="{00000000-0005-0000-0000-00002A000000}"/>
    <cellStyle name="Buena 2" xfId="53" xr:uid="{00000000-0005-0000-0000-00002B000000}"/>
    <cellStyle name="Calculation" xfId="54" xr:uid="{00000000-0005-0000-0000-00002C000000}"/>
    <cellStyle name="Cálculo 2" xfId="55" xr:uid="{00000000-0005-0000-0000-00002D000000}"/>
    <cellStyle name="Celda de comprobación 2" xfId="56" xr:uid="{00000000-0005-0000-0000-00002E000000}"/>
    <cellStyle name="Celda vinculada 2" xfId="57" xr:uid="{00000000-0005-0000-0000-00002F000000}"/>
    <cellStyle name="Check Cell" xfId="58" xr:uid="{00000000-0005-0000-0000-000030000000}"/>
    <cellStyle name="Comma 2" xfId="59" xr:uid="{00000000-0005-0000-0000-000031000000}"/>
    <cellStyle name="Comma 2 2" xfId="60" xr:uid="{00000000-0005-0000-0000-000032000000}"/>
    <cellStyle name="Comma 3" xfId="61" xr:uid="{00000000-0005-0000-0000-000033000000}"/>
    <cellStyle name="Comma 4" xfId="62" xr:uid="{00000000-0005-0000-0000-000034000000}"/>
    <cellStyle name="Comma 4 2" xfId="63" xr:uid="{00000000-0005-0000-0000-000035000000}"/>
    <cellStyle name="Currency 2" xfId="64" xr:uid="{00000000-0005-0000-0000-000036000000}"/>
    <cellStyle name="Currency 2 2" xfId="65" xr:uid="{00000000-0005-0000-0000-000037000000}"/>
    <cellStyle name="Currency 3" xfId="66" xr:uid="{00000000-0005-0000-0000-000038000000}"/>
    <cellStyle name="Currency 4" xfId="67" xr:uid="{00000000-0005-0000-0000-000039000000}"/>
    <cellStyle name="Currency 47" xfId="68" xr:uid="{00000000-0005-0000-0000-00003A000000}"/>
    <cellStyle name="Currency 48" xfId="69" xr:uid="{00000000-0005-0000-0000-00003B000000}"/>
    <cellStyle name="Currency 5" xfId="70" xr:uid="{00000000-0005-0000-0000-00003C000000}"/>
    <cellStyle name="Currency 5 2" xfId="71" xr:uid="{00000000-0005-0000-0000-00003D000000}"/>
    <cellStyle name="Encabezado 4 2" xfId="72" xr:uid="{00000000-0005-0000-0000-00003E000000}"/>
    <cellStyle name="Énfasis1 2" xfId="73" xr:uid="{00000000-0005-0000-0000-00003F000000}"/>
    <cellStyle name="Énfasis2 2" xfId="74" xr:uid="{00000000-0005-0000-0000-000040000000}"/>
    <cellStyle name="Énfasis3 2" xfId="75" xr:uid="{00000000-0005-0000-0000-000041000000}"/>
    <cellStyle name="Énfasis4 2" xfId="76" xr:uid="{00000000-0005-0000-0000-000042000000}"/>
    <cellStyle name="Énfasis5 2" xfId="77" xr:uid="{00000000-0005-0000-0000-000043000000}"/>
    <cellStyle name="Énfasis6 2" xfId="78" xr:uid="{00000000-0005-0000-0000-000044000000}"/>
    <cellStyle name="Entrada 2" xfId="79" xr:uid="{00000000-0005-0000-0000-000045000000}"/>
    <cellStyle name="Euro" xfId="80" xr:uid="{00000000-0005-0000-0000-000046000000}"/>
    <cellStyle name="Euro 2" xfId="81" xr:uid="{00000000-0005-0000-0000-000047000000}"/>
    <cellStyle name="Explanatory Text" xfId="82" xr:uid="{00000000-0005-0000-0000-000048000000}"/>
    <cellStyle name="Good" xfId="83" xr:uid="{00000000-0005-0000-0000-000049000000}"/>
    <cellStyle name="Heading 1" xfId="84" xr:uid="{00000000-0005-0000-0000-00004A000000}"/>
    <cellStyle name="Heading 2" xfId="85" xr:uid="{00000000-0005-0000-0000-00004B000000}"/>
    <cellStyle name="Heading 3" xfId="86" xr:uid="{00000000-0005-0000-0000-00004C000000}"/>
    <cellStyle name="Heading 4" xfId="87" xr:uid="{00000000-0005-0000-0000-00004D000000}"/>
    <cellStyle name="Hipervínculo 2" xfId="7" xr:uid="{00000000-0005-0000-0000-00004F000000}"/>
    <cellStyle name="Hyperlink" xfId="156" builtinId="8"/>
    <cellStyle name="Incorrecto 2" xfId="88" xr:uid="{00000000-0005-0000-0000-000050000000}"/>
    <cellStyle name="Input" xfId="89" xr:uid="{00000000-0005-0000-0000-000051000000}"/>
    <cellStyle name="Linked Cell" xfId="90" xr:uid="{00000000-0005-0000-0000-000052000000}"/>
    <cellStyle name="Millares [0] 2" xfId="9" xr:uid="{00000000-0005-0000-0000-000053000000}"/>
    <cellStyle name="Millares [0] 2 2" xfId="167" xr:uid="{00000000-0005-0000-0000-000054000000}"/>
    <cellStyle name="Millares [0] 3" xfId="155" xr:uid="{00000000-0005-0000-0000-000055000000}"/>
    <cellStyle name="Millares 10" xfId="91" xr:uid="{00000000-0005-0000-0000-000056000000}"/>
    <cellStyle name="Millares 11" xfId="92" xr:uid="{00000000-0005-0000-0000-000057000000}"/>
    <cellStyle name="Millares 12" xfId="170" xr:uid="{00000000-0005-0000-0000-000058000000}"/>
    <cellStyle name="Millares 2" xfId="3" xr:uid="{00000000-0005-0000-0000-000059000000}"/>
    <cellStyle name="Millares 2 2" xfId="94" xr:uid="{00000000-0005-0000-0000-00005A000000}"/>
    <cellStyle name="Millares 2 3" xfId="161" xr:uid="{00000000-0005-0000-0000-00005B000000}"/>
    <cellStyle name="Millares 2 4" xfId="171" xr:uid="{00000000-0005-0000-0000-00005C000000}"/>
    <cellStyle name="Millares 2 5" xfId="93" xr:uid="{00000000-0005-0000-0000-00005D000000}"/>
    <cellStyle name="Millares 2_4.  ESTAD EJES COMPARTIDOS SAG CORAZON  Y SAMPER PTI TEUSAQUILLO" xfId="95" xr:uid="{00000000-0005-0000-0000-00005E000000}"/>
    <cellStyle name="Millares 3" xfId="96" xr:uid="{00000000-0005-0000-0000-00005F000000}"/>
    <cellStyle name="Millares 4" xfId="97" xr:uid="{00000000-0005-0000-0000-000060000000}"/>
    <cellStyle name="Millares 4 2" xfId="98" xr:uid="{00000000-0005-0000-0000-000061000000}"/>
    <cellStyle name="Millares 4 2 2" xfId="99" xr:uid="{00000000-0005-0000-0000-000062000000}"/>
    <cellStyle name="Millares 4_EJERCICIO MAKRO" xfId="100" xr:uid="{00000000-0005-0000-0000-000063000000}"/>
    <cellStyle name="Millares 5" xfId="101" xr:uid="{00000000-0005-0000-0000-000064000000}"/>
    <cellStyle name="Millares 6" xfId="102" xr:uid="{00000000-0005-0000-0000-000065000000}"/>
    <cellStyle name="Millares 6 2" xfId="103" xr:uid="{00000000-0005-0000-0000-000066000000}"/>
    <cellStyle name="Millares 7" xfId="104" xr:uid="{00000000-0005-0000-0000-000067000000}"/>
    <cellStyle name="Millares 8" xfId="105" xr:uid="{00000000-0005-0000-0000-000068000000}"/>
    <cellStyle name="Millares 9" xfId="106" xr:uid="{00000000-0005-0000-0000-000069000000}"/>
    <cellStyle name="Moneda [0] 2" xfId="8" xr:uid="{00000000-0005-0000-0000-00006A000000}"/>
    <cellStyle name="Moneda [0] 2 2" xfId="162" xr:uid="{00000000-0005-0000-0000-00006B000000}"/>
    <cellStyle name="Moneda [0] 2 3" xfId="172" xr:uid="{00000000-0005-0000-0000-00006C000000}"/>
    <cellStyle name="Moneda [0] 2 4" xfId="158" xr:uid="{00000000-0005-0000-0000-00006D000000}"/>
    <cellStyle name="Moneda [0] 3" xfId="173" xr:uid="{00000000-0005-0000-0000-00006E000000}"/>
    <cellStyle name="Moneda [0] 4" xfId="157" xr:uid="{00000000-0005-0000-0000-00006F000000}"/>
    <cellStyle name="Moneda 10" xfId="107" xr:uid="{00000000-0005-0000-0000-000070000000}"/>
    <cellStyle name="Moneda 2" xfId="4" xr:uid="{00000000-0005-0000-0000-000071000000}"/>
    <cellStyle name="Moneda 2 2" xfId="109" xr:uid="{00000000-0005-0000-0000-000072000000}"/>
    <cellStyle name="Moneda 2 2 2" xfId="110" xr:uid="{00000000-0005-0000-0000-000073000000}"/>
    <cellStyle name="Moneda 2 3" xfId="160" xr:uid="{00000000-0005-0000-0000-000074000000}"/>
    <cellStyle name="Moneda 2 4" xfId="108" xr:uid="{00000000-0005-0000-0000-000075000000}"/>
    <cellStyle name="Moneda 3" xfId="111" xr:uid="{00000000-0005-0000-0000-000076000000}"/>
    <cellStyle name="Moneda 4" xfId="112" xr:uid="{00000000-0005-0000-0000-000077000000}"/>
    <cellStyle name="Moneda 4 2" xfId="113" xr:uid="{00000000-0005-0000-0000-000078000000}"/>
    <cellStyle name="Moneda 5" xfId="114" xr:uid="{00000000-0005-0000-0000-000079000000}"/>
    <cellStyle name="Moneda 5 2" xfId="165" xr:uid="{00000000-0005-0000-0000-00007A000000}"/>
    <cellStyle name="Moneda 6" xfId="115" xr:uid="{00000000-0005-0000-0000-00007B000000}"/>
    <cellStyle name="Moneda 7" xfId="169" xr:uid="{00000000-0005-0000-0000-00007C000000}"/>
    <cellStyle name="Moneda 8" xfId="164" xr:uid="{00000000-0005-0000-0000-00007D000000}"/>
    <cellStyle name="Neutral 2" xfId="116" xr:uid="{00000000-0005-0000-0000-00007E000000}"/>
    <cellStyle name="No-definido" xfId="117" xr:uid="{00000000-0005-0000-0000-00007F000000}"/>
    <cellStyle name="Normal" xfId="0" builtinId="0"/>
    <cellStyle name="Normal 10" xfId="118" xr:uid="{00000000-0005-0000-0000-000081000000}"/>
    <cellStyle name="Normal 19" xfId="119" xr:uid="{00000000-0005-0000-0000-000082000000}"/>
    <cellStyle name="Normal 2" xfId="2" xr:uid="{00000000-0005-0000-0000-000083000000}"/>
    <cellStyle name="Normal 2 2" xfId="120" xr:uid="{00000000-0005-0000-0000-000084000000}"/>
    <cellStyle name="Normal 2 3" xfId="1" xr:uid="{00000000-0005-0000-0000-000085000000}"/>
    <cellStyle name="Normal 2 3 2" xfId="163" xr:uid="{00000000-0005-0000-0000-000086000000}"/>
    <cellStyle name="Normal 2_Acta comite" xfId="121" xr:uid="{00000000-0005-0000-0000-000087000000}"/>
    <cellStyle name="Normal 3" xfId="6" xr:uid="{00000000-0005-0000-0000-000088000000}"/>
    <cellStyle name="Normal 3 2" xfId="123" xr:uid="{00000000-0005-0000-0000-000089000000}"/>
    <cellStyle name="Normal 3 3" xfId="122" xr:uid="{00000000-0005-0000-0000-00008A000000}"/>
    <cellStyle name="Normal 3_Desarrollo_TD_CHAPINERO (3)" xfId="124" xr:uid="{00000000-0005-0000-0000-00008B000000}"/>
    <cellStyle name="Normal 4" xfId="125" xr:uid="{00000000-0005-0000-0000-00008C000000}"/>
    <cellStyle name="Normal 5" xfId="126" xr:uid="{00000000-0005-0000-0000-00008D000000}"/>
    <cellStyle name="Normal 6" xfId="127" xr:uid="{00000000-0005-0000-0000-00008E000000}"/>
    <cellStyle name="Normal 7" xfId="166" xr:uid="{00000000-0005-0000-0000-00008F000000}"/>
    <cellStyle name="Normal 8" xfId="128" xr:uid="{00000000-0005-0000-0000-000090000000}"/>
    <cellStyle name="Notas 2" xfId="129" xr:uid="{00000000-0005-0000-0000-000091000000}"/>
    <cellStyle name="Notas 2 2" xfId="130" xr:uid="{00000000-0005-0000-0000-000092000000}"/>
    <cellStyle name="Notas 3" xfId="131" xr:uid="{00000000-0005-0000-0000-000093000000}"/>
    <cellStyle name="Note" xfId="132" xr:uid="{00000000-0005-0000-0000-000094000000}"/>
    <cellStyle name="Note 2" xfId="133" xr:uid="{00000000-0005-0000-0000-000095000000}"/>
    <cellStyle name="Output" xfId="134" xr:uid="{00000000-0005-0000-0000-000096000000}"/>
    <cellStyle name="Percent 2" xfId="135" xr:uid="{00000000-0005-0000-0000-000097000000}"/>
    <cellStyle name="Percent 3" xfId="136" xr:uid="{00000000-0005-0000-0000-000098000000}"/>
    <cellStyle name="Porcentaje 2" xfId="5" xr:uid="{00000000-0005-0000-0000-000099000000}"/>
    <cellStyle name="Porcentaje 3" xfId="138" xr:uid="{00000000-0005-0000-0000-00009A000000}"/>
    <cellStyle name="Porcentaje 4" xfId="159" xr:uid="{00000000-0005-0000-0000-00009B000000}"/>
    <cellStyle name="Porcentaje 5" xfId="168" xr:uid="{00000000-0005-0000-0000-00009C000000}"/>
    <cellStyle name="Porcentaje 6" xfId="137" xr:uid="{00000000-0005-0000-0000-00009D000000}"/>
    <cellStyle name="Porcentual 10" xfId="139" xr:uid="{00000000-0005-0000-0000-00009E000000}"/>
    <cellStyle name="Porcentual 2" xfId="140" xr:uid="{00000000-0005-0000-0000-00009F000000}"/>
    <cellStyle name="Porcentual 2 2" xfId="141" xr:uid="{00000000-0005-0000-0000-0000A0000000}"/>
    <cellStyle name="Porcentual 3" xfId="142" xr:uid="{00000000-0005-0000-0000-0000A1000000}"/>
    <cellStyle name="Porcentual 3 2" xfId="143" xr:uid="{00000000-0005-0000-0000-0000A2000000}"/>
    <cellStyle name="Porcentual 4" xfId="144" xr:uid="{00000000-0005-0000-0000-0000A3000000}"/>
    <cellStyle name="Salida 2" xfId="145" xr:uid="{00000000-0005-0000-0000-0000A4000000}"/>
    <cellStyle name="Texto de advertencia 2" xfId="146" xr:uid="{00000000-0005-0000-0000-0000A5000000}"/>
    <cellStyle name="Texto explicativo 2" xfId="147" xr:uid="{00000000-0005-0000-0000-0000A6000000}"/>
    <cellStyle name="Title" xfId="148" xr:uid="{00000000-0005-0000-0000-0000A7000000}"/>
    <cellStyle name="Título 1 2" xfId="149" xr:uid="{00000000-0005-0000-0000-0000A8000000}"/>
    <cellStyle name="Título 2 2" xfId="150" xr:uid="{00000000-0005-0000-0000-0000A9000000}"/>
    <cellStyle name="Título 3 2" xfId="151" xr:uid="{00000000-0005-0000-0000-0000AA000000}"/>
    <cellStyle name="Título 4" xfId="152" xr:uid="{00000000-0005-0000-0000-0000AB000000}"/>
    <cellStyle name="Total 2" xfId="153" xr:uid="{00000000-0005-0000-0000-0000AC000000}"/>
    <cellStyle name="Warning Text" xfId="154" xr:uid="{00000000-0005-0000-0000-0000A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8"/>
  <sheetViews>
    <sheetView tabSelected="1" workbookViewId="0">
      <selection activeCell="D16" sqref="D16"/>
    </sheetView>
  </sheetViews>
  <sheetFormatPr defaultColWidth="11.42578125" defaultRowHeight="15"/>
  <cols>
    <col min="2" max="2" width="28.85546875" customWidth="1"/>
    <col min="4" max="4" width="49.85546875" customWidth="1"/>
    <col min="5" max="5" width="18.5703125" customWidth="1"/>
    <col min="6" max="6" width="11.7109375" customWidth="1"/>
    <col min="7" max="7" width="30.42578125" customWidth="1"/>
    <col min="8" max="8" width="11.42578125" customWidth="1"/>
    <col min="9" max="9" width="41.85546875" customWidth="1"/>
  </cols>
  <sheetData>
    <row r="2" spans="2:9">
      <c r="B2" s="21" t="s">
        <v>0</v>
      </c>
      <c r="C2" s="22"/>
      <c r="D2" s="22"/>
      <c r="E2" s="22"/>
      <c r="F2" s="22"/>
      <c r="G2" s="22"/>
      <c r="H2" s="22"/>
    </row>
    <row r="3" spans="2:9" ht="15.75" thickBot="1"/>
    <row r="4" spans="2:9" ht="16.5" thickTop="1" thickBot="1">
      <c r="B4" s="23" t="s">
        <v>1</v>
      </c>
      <c r="C4" s="25" t="s">
        <v>2</v>
      </c>
      <c r="D4" s="26"/>
      <c r="E4" s="26"/>
      <c r="F4" s="26"/>
      <c r="G4" s="26"/>
      <c r="H4" s="26"/>
      <c r="I4" s="27"/>
    </row>
    <row r="5" spans="2:9" ht="15.6" customHeight="1" thickTop="1" thickBot="1">
      <c r="B5" s="24"/>
      <c r="C5" s="25" t="s">
        <v>3</v>
      </c>
      <c r="D5" s="26"/>
      <c r="E5" s="26"/>
      <c r="F5" s="26"/>
      <c r="G5" s="26"/>
      <c r="H5" s="26"/>
      <c r="I5" s="27"/>
    </row>
    <row r="6" spans="2:9" ht="16.5" thickTop="1" thickBot="1">
      <c r="B6" s="11" t="s">
        <v>4</v>
      </c>
      <c r="C6" s="25" t="s">
        <v>2</v>
      </c>
      <c r="D6" s="26"/>
      <c r="E6" s="26"/>
      <c r="F6" s="26"/>
      <c r="G6" s="26"/>
      <c r="H6" s="26"/>
      <c r="I6" s="27"/>
    </row>
    <row r="7" spans="2:9" ht="16.5" thickTop="1" thickBot="1">
      <c r="B7" s="11" t="s">
        <v>5</v>
      </c>
      <c r="C7" s="25" t="s">
        <v>6</v>
      </c>
      <c r="D7" s="26"/>
      <c r="E7" s="26"/>
      <c r="F7" s="26"/>
      <c r="G7" s="26"/>
      <c r="H7" s="26"/>
      <c r="I7" s="27"/>
    </row>
    <row r="8" spans="2:9" ht="31.5" thickTop="1" thickBot="1">
      <c r="B8" s="12" t="s">
        <v>7</v>
      </c>
      <c r="C8" s="12" t="s">
        <v>8</v>
      </c>
      <c r="D8" s="12" t="s">
        <v>9</v>
      </c>
      <c r="E8" s="12" t="s">
        <v>10</v>
      </c>
      <c r="F8" s="12" t="s">
        <v>11</v>
      </c>
      <c r="G8" s="12" t="s">
        <v>12</v>
      </c>
      <c r="H8" s="12" t="s">
        <v>13</v>
      </c>
      <c r="I8" s="12" t="s">
        <v>14</v>
      </c>
    </row>
    <row r="9" spans="2:9" ht="16.5" thickTop="1" thickBot="1">
      <c r="B9" s="4" t="s">
        <v>15</v>
      </c>
      <c r="C9" s="4" t="s">
        <v>16</v>
      </c>
      <c r="D9" s="4" t="s">
        <v>17</v>
      </c>
      <c r="E9" s="4" t="s">
        <v>18</v>
      </c>
      <c r="F9" s="4" t="s">
        <v>19</v>
      </c>
      <c r="G9" s="4"/>
      <c r="H9" s="4"/>
      <c r="I9" s="4"/>
    </row>
    <row r="10" spans="2:9" ht="30" customHeight="1" thickTop="1" thickBot="1">
      <c r="B10" s="6" t="s">
        <v>20</v>
      </c>
      <c r="C10" s="6" t="s">
        <v>16</v>
      </c>
      <c r="D10" s="6" t="s">
        <v>21</v>
      </c>
      <c r="E10" s="19" t="s">
        <v>22</v>
      </c>
      <c r="F10" s="6" t="s">
        <v>23</v>
      </c>
      <c r="G10" s="6" t="s">
        <v>24</v>
      </c>
      <c r="H10" s="6" t="s">
        <v>25</v>
      </c>
      <c r="I10" s="28" t="s">
        <v>26</v>
      </c>
    </row>
    <row r="11" spans="2:9" ht="31.5" thickTop="1" thickBot="1">
      <c r="B11" s="6" t="s">
        <v>27</v>
      </c>
      <c r="C11" s="6" t="s">
        <v>16</v>
      </c>
      <c r="D11" s="6" t="s">
        <v>28</v>
      </c>
      <c r="E11" s="19" t="s">
        <v>29</v>
      </c>
      <c r="F11" s="6" t="s">
        <v>23</v>
      </c>
      <c r="G11" s="6" t="s">
        <v>24</v>
      </c>
      <c r="H11" s="6" t="s">
        <v>25</v>
      </c>
      <c r="I11" s="29"/>
    </row>
    <row r="12" spans="2:9" ht="31.5" thickTop="1" thickBot="1">
      <c r="B12" s="6" t="s">
        <v>30</v>
      </c>
      <c r="C12" s="6" t="s">
        <v>16</v>
      </c>
      <c r="D12" s="6" t="s">
        <v>31</v>
      </c>
      <c r="E12" s="6"/>
      <c r="F12" s="6" t="s">
        <v>23</v>
      </c>
      <c r="G12" s="6" t="s">
        <v>24</v>
      </c>
      <c r="H12" s="6" t="s">
        <v>25</v>
      </c>
      <c r="I12" s="29"/>
    </row>
    <row r="13" spans="2:9" ht="31.5" thickTop="1" thickBot="1">
      <c r="B13" s="6" t="s">
        <v>32</v>
      </c>
      <c r="C13" s="6" t="s">
        <v>16</v>
      </c>
      <c r="D13" s="6" t="s">
        <v>33</v>
      </c>
      <c r="E13" s="6" t="s">
        <v>18</v>
      </c>
      <c r="F13" s="6" t="s">
        <v>23</v>
      </c>
      <c r="G13" s="6" t="s">
        <v>24</v>
      </c>
      <c r="H13" s="6" t="s">
        <v>25</v>
      </c>
      <c r="I13" s="30"/>
    </row>
    <row r="14" spans="2:9" ht="46.5" thickTop="1" thickBot="1">
      <c r="B14" s="4" t="s">
        <v>34</v>
      </c>
      <c r="C14" s="4" t="s">
        <v>35</v>
      </c>
      <c r="D14" s="4" t="s">
        <v>36</v>
      </c>
      <c r="E14" s="13" t="str">
        <f>+DOMINIOS!$C$10</f>
        <v>Dom_Tipo_Oferta</v>
      </c>
      <c r="F14" s="4" t="s">
        <v>19</v>
      </c>
      <c r="G14" s="4" t="s">
        <v>24</v>
      </c>
      <c r="H14" s="4" t="s">
        <v>37</v>
      </c>
      <c r="I14" s="4"/>
    </row>
    <row r="15" spans="2:9" ht="46.5" thickTop="1" thickBot="1">
      <c r="B15" s="4" t="s">
        <v>38</v>
      </c>
      <c r="C15" s="4" t="s">
        <v>16</v>
      </c>
      <c r="D15" s="4" t="s">
        <v>39</v>
      </c>
      <c r="E15" s="4" t="s">
        <v>18</v>
      </c>
      <c r="F15" s="4" t="s">
        <v>19</v>
      </c>
      <c r="G15" s="4" t="s">
        <v>24</v>
      </c>
      <c r="H15" s="4" t="s">
        <v>25</v>
      </c>
      <c r="I15" s="4"/>
    </row>
    <row r="16" spans="2:9" ht="31.5" thickTop="1" thickBot="1">
      <c r="B16" s="4" t="s">
        <v>40</v>
      </c>
      <c r="C16" s="4" t="s">
        <v>16</v>
      </c>
      <c r="D16" s="4" t="s">
        <v>41</v>
      </c>
      <c r="E16" s="4" t="s">
        <v>18</v>
      </c>
      <c r="F16" s="4" t="s">
        <v>19</v>
      </c>
      <c r="G16" s="4" t="s">
        <v>24</v>
      </c>
      <c r="H16" s="4" t="s">
        <v>25</v>
      </c>
      <c r="I16" s="4"/>
    </row>
    <row r="17" spans="2:9" ht="31.5" thickTop="1" thickBot="1">
      <c r="B17" s="8" t="s">
        <v>42</v>
      </c>
      <c r="C17" s="8" t="s">
        <v>16</v>
      </c>
      <c r="D17" s="8" t="s">
        <v>43</v>
      </c>
      <c r="E17" s="8" t="s">
        <v>18</v>
      </c>
      <c r="F17" s="8" t="s">
        <v>44</v>
      </c>
      <c r="G17" s="8" t="s">
        <v>45</v>
      </c>
      <c r="H17" s="8" t="s">
        <v>46</v>
      </c>
      <c r="I17" s="8"/>
    </row>
    <row r="18" spans="2:9" ht="76.5" thickTop="1" thickBot="1">
      <c r="B18" s="8" t="s">
        <v>47</v>
      </c>
      <c r="C18" s="8" t="s">
        <v>48</v>
      </c>
      <c r="D18" s="8" t="s">
        <v>49</v>
      </c>
      <c r="E18" s="8" t="s">
        <v>18</v>
      </c>
      <c r="F18" s="8" t="s">
        <v>44</v>
      </c>
      <c r="G18" s="8"/>
      <c r="H18" s="8" t="s">
        <v>50</v>
      </c>
      <c r="I18" s="8"/>
    </row>
    <row r="19" spans="2:9" ht="61.5" thickTop="1" thickBot="1">
      <c r="B19" s="4" t="s">
        <v>51</v>
      </c>
      <c r="C19" s="4" t="s">
        <v>52</v>
      </c>
      <c r="D19" s="4" t="s">
        <v>53</v>
      </c>
      <c r="E19" s="13" t="str">
        <f>+DOMINIOS!$C$47</f>
        <v>Ext_Direccion</v>
      </c>
      <c r="F19" s="4" t="s">
        <v>19</v>
      </c>
      <c r="G19" s="4" t="s">
        <v>24</v>
      </c>
      <c r="H19" s="4" t="s">
        <v>25</v>
      </c>
      <c r="I19" s="4"/>
    </row>
    <row r="20" spans="2:9" ht="46.5" thickTop="1" thickBot="1">
      <c r="B20" s="6" t="s">
        <v>54</v>
      </c>
      <c r="C20" s="6" t="s">
        <v>48</v>
      </c>
      <c r="D20" s="6" t="s">
        <v>55</v>
      </c>
      <c r="E20" s="6" t="s">
        <v>18</v>
      </c>
      <c r="F20" s="6" t="s">
        <v>23</v>
      </c>
      <c r="G20" s="6"/>
      <c r="H20" s="6"/>
      <c r="I20" s="20" t="s">
        <v>56</v>
      </c>
    </row>
    <row r="21" spans="2:9" ht="31.5" thickTop="1" thickBot="1">
      <c r="B21" s="8" t="s">
        <v>57</v>
      </c>
      <c r="C21" s="8" t="s">
        <v>48</v>
      </c>
      <c r="D21" s="8" t="s">
        <v>58</v>
      </c>
      <c r="E21" s="8" t="s">
        <v>18</v>
      </c>
      <c r="F21" s="8" t="s">
        <v>44</v>
      </c>
      <c r="G21" s="8"/>
      <c r="H21" s="8"/>
      <c r="I21" s="8"/>
    </row>
    <row r="22" spans="2:9" ht="46.5" thickTop="1" thickBot="1">
      <c r="B22" s="6" t="s">
        <v>59</v>
      </c>
      <c r="C22" s="6" t="s">
        <v>48</v>
      </c>
      <c r="D22" s="6" t="s">
        <v>60</v>
      </c>
      <c r="E22" s="6" t="s">
        <v>18</v>
      </c>
      <c r="F22" s="6" t="s">
        <v>23</v>
      </c>
      <c r="G22" s="6" t="s">
        <v>24</v>
      </c>
      <c r="H22" s="6" t="s">
        <v>37</v>
      </c>
      <c r="I22" s="20" t="s">
        <v>61</v>
      </c>
    </row>
    <row r="23" spans="2:9" ht="31.5" thickTop="1" thickBot="1">
      <c r="B23" s="6" t="s">
        <v>62</v>
      </c>
      <c r="C23" s="6" t="s">
        <v>48</v>
      </c>
      <c r="D23" s="6" t="s">
        <v>63</v>
      </c>
      <c r="E23" s="6" t="s">
        <v>18</v>
      </c>
      <c r="F23" s="6" t="s">
        <v>23</v>
      </c>
      <c r="G23" s="6"/>
      <c r="H23" s="6"/>
      <c r="I23" s="20" t="s">
        <v>61</v>
      </c>
    </row>
    <row r="24" spans="2:9" ht="46.5" thickTop="1" thickBot="1">
      <c r="B24" s="6" t="s">
        <v>64</v>
      </c>
      <c r="C24" s="6" t="s">
        <v>48</v>
      </c>
      <c r="D24" s="6" t="s">
        <v>65</v>
      </c>
      <c r="E24" s="6" t="s">
        <v>18</v>
      </c>
      <c r="F24" s="6" t="s">
        <v>23</v>
      </c>
      <c r="G24" s="6" t="s">
        <v>24</v>
      </c>
      <c r="H24" s="6" t="s">
        <v>37</v>
      </c>
      <c r="I24" s="20" t="s">
        <v>61</v>
      </c>
    </row>
    <row r="25" spans="2:9" ht="121.5" customHeight="1" thickTop="1" thickBot="1">
      <c r="B25" s="8" t="s">
        <v>66</v>
      </c>
      <c r="C25" s="8" t="s">
        <v>48</v>
      </c>
      <c r="D25" s="8" t="s">
        <v>67</v>
      </c>
      <c r="E25" s="8" t="s">
        <v>18</v>
      </c>
      <c r="F25" s="8" t="s">
        <v>44</v>
      </c>
      <c r="G25" s="8" t="s">
        <v>68</v>
      </c>
      <c r="H25" s="8" t="s">
        <v>69</v>
      </c>
      <c r="I25" s="8"/>
    </row>
    <row r="26" spans="2:9" ht="46.5" thickTop="1" thickBot="1">
      <c r="B26" s="8" t="s">
        <v>70</v>
      </c>
      <c r="C26" s="8" t="s">
        <v>48</v>
      </c>
      <c r="D26" s="8" t="s">
        <v>71</v>
      </c>
      <c r="E26" s="8" t="s">
        <v>18</v>
      </c>
      <c r="F26" s="8" t="s">
        <v>44</v>
      </c>
      <c r="G26" s="8" t="s">
        <v>68</v>
      </c>
      <c r="H26" s="8" t="s">
        <v>69</v>
      </c>
      <c r="I26" s="8"/>
    </row>
    <row r="27" spans="2:9" ht="31.5" thickTop="1" thickBot="1">
      <c r="B27" s="4" t="s">
        <v>72</v>
      </c>
      <c r="C27" s="4" t="s">
        <v>48</v>
      </c>
      <c r="D27" s="4" t="s">
        <v>73</v>
      </c>
      <c r="E27" s="4" t="s">
        <v>18</v>
      </c>
      <c r="F27" s="4" t="s">
        <v>19</v>
      </c>
      <c r="G27" s="4"/>
      <c r="H27" s="4"/>
      <c r="I27" s="4"/>
    </row>
    <row r="28" spans="2:9" ht="16.5" thickTop="1" thickBot="1">
      <c r="B28" s="8" t="s">
        <v>74</v>
      </c>
      <c r="C28" s="8" t="s">
        <v>48</v>
      </c>
      <c r="D28" s="8" t="s">
        <v>75</v>
      </c>
      <c r="E28" s="8" t="s">
        <v>18</v>
      </c>
      <c r="F28" s="8" t="s">
        <v>76</v>
      </c>
      <c r="G28" s="8"/>
      <c r="H28" s="8"/>
      <c r="I28" s="8"/>
    </row>
    <row r="29" spans="2:9" ht="16.5" thickTop="1" thickBot="1">
      <c r="B29" s="4" t="s">
        <v>77</v>
      </c>
      <c r="C29" s="4" t="s">
        <v>48</v>
      </c>
      <c r="D29" s="4" t="s">
        <v>78</v>
      </c>
      <c r="E29" s="4" t="s">
        <v>18</v>
      </c>
      <c r="F29" s="4" t="s">
        <v>19</v>
      </c>
      <c r="G29" s="4"/>
      <c r="H29" s="4"/>
      <c r="I29" s="4"/>
    </row>
    <row r="30" spans="2:9" ht="16.5" thickTop="1" thickBot="1">
      <c r="B30" s="8" t="s">
        <v>79</v>
      </c>
      <c r="C30" s="8" t="s">
        <v>48</v>
      </c>
      <c r="D30" s="8" t="s">
        <v>80</v>
      </c>
      <c r="E30" s="8" t="s">
        <v>18</v>
      </c>
      <c r="F30" s="8" t="s">
        <v>76</v>
      </c>
      <c r="G30" s="8"/>
      <c r="H30" s="8"/>
      <c r="I30" s="8"/>
    </row>
    <row r="31" spans="2:9" ht="16.5" thickTop="1" thickBot="1">
      <c r="B31" s="8" t="s">
        <v>81</v>
      </c>
      <c r="C31" s="8" t="s">
        <v>48</v>
      </c>
      <c r="D31" s="8" t="s">
        <v>82</v>
      </c>
      <c r="E31" s="8" t="s">
        <v>18</v>
      </c>
      <c r="F31" s="8" t="s">
        <v>76</v>
      </c>
      <c r="G31" s="8"/>
      <c r="H31" s="8"/>
      <c r="I31" s="8"/>
    </row>
    <row r="32" spans="2:9" ht="31.5" thickTop="1" thickBot="1">
      <c r="B32" s="8" t="s">
        <v>83</v>
      </c>
      <c r="C32" s="8" t="s">
        <v>48</v>
      </c>
      <c r="D32" s="8" t="s">
        <v>84</v>
      </c>
      <c r="E32" s="8" t="s">
        <v>18</v>
      </c>
      <c r="F32" s="8" t="s">
        <v>76</v>
      </c>
      <c r="G32" s="8"/>
      <c r="H32" s="8"/>
      <c r="I32" s="8"/>
    </row>
    <row r="33" spans="2:9" ht="31.5" thickTop="1" thickBot="1">
      <c r="B33" s="8" t="s">
        <v>85</v>
      </c>
      <c r="C33" s="8" t="s">
        <v>48</v>
      </c>
      <c r="D33" s="8" t="s">
        <v>86</v>
      </c>
      <c r="E33" s="8" t="s">
        <v>18</v>
      </c>
      <c r="F33" s="8" t="s">
        <v>76</v>
      </c>
      <c r="G33" s="8"/>
      <c r="H33" s="8"/>
      <c r="I33" s="8"/>
    </row>
    <row r="34" spans="2:9" ht="31.5" thickTop="1" thickBot="1">
      <c r="B34" s="8" t="s">
        <v>87</v>
      </c>
      <c r="C34" s="8" t="s">
        <v>48</v>
      </c>
      <c r="D34" s="8" t="s">
        <v>88</v>
      </c>
      <c r="E34" s="8" t="s">
        <v>18</v>
      </c>
      <c r="F34" s="8" t="s">
        <v>76</v>
      </c>
      <c r="G34" s="8"/>
      <c r="H34" s="8"/>
      <c r="I34" s="8"/>
    </row>
    <row r="35" spans="2:9" ht="30">
      <c r="B35" s="4" t="s">
        <v>89</v>
      </c>
      <c r="C35" s="4" t="s">
        <v>16</v>
      </c>
      <c r="D35" s="4" t="s">
        <v>90</v>
      </c>
      <c r="E35" s="4" t="s">
        <v>18</v>
      </c>
      <c r="F35" s="4" t="s">
        <v>19</v>
      </c>
      <c r="G35" s="4"/>
      <c r="H35" s="4"/>
      <c r="I35" s="4" t="s">
        <v>91</v>
      </c>
    </row>
    <row r="36" spans="2:9" ht="44.25" customHeight="1" thickTop="1" thickBot="1">
      <c r="B36" s="4" t="s">
        <v>92</v>
      </c>
      <c r="C36" s="4" t="s">
        <v>48</v>
      </c>
      <c r="D36" s="4" t="s">
        <v>93</v>
      </c>
      <c r="E36" s="4" t="s">
        <v>18</v>
      </c>
      <c r="F36" s="4" t="s">
        <v>19</v>
      </c>
      <c r="G36" s="4"/>
      <c r="H36" s="4"/>
      <c r="I36" s="4"/>
    </row>
    <row r="37" spans="2:9" ht="44.25" customHeight="1" thickTop="1" thickBot="1">
      <c r="B37" s="4" t="s">
        <v>94</v>
      </c>
      <c r="C37" s="4" t="s">
        <v>48</v>
      </c>
      <c r="D37" s="4" t="s">
        <v>95</v>
      </c>
      <c r="E37" s="4" t="s">
        <v>18</v>
      </c>
      <c r="F37" s="4" t="s">
        <v>19</v>
      </c>
      <c r="G37" s="4"/>
      <c r="H37" s="4"/>
      <c r="I37" s="4"/>
    </row>
    <row r="38" spans="2:9" ht="46.5" thickTop="1" thickBot="1">
      <c r="B38" s="4" t="s">
        <v>96</v>
      </c>
      <c r="C38" s="4" t="s">
        <v>35</v>
      </c>
      <c r="D38" s="4" t="s">
        <v>97</v>
      </c>
      <c r="E38" s="13" t="str">
        <f>+DOMINIOS!$C$91</f>
        <v>Dom_EstadoConservacionTipo</v>
      </c>
      <c r="F38" s="4" t="s">
        <v>19</v>
      </c>
      <c r="G38" s="4" t="s">
        <v>68</v>
      </c>
      <c r="H38" s="4" t="s">
        <v>98</v>
      </c>
      <c r="I38" s="4"/>
    </row>
    <row r="39" spans="2:9" ht="46.5" thickTop="1" thickBot="1">
      <c r="B39" s="4" t="s">
        <v>99</v>
      </c>
      <c r="C39" s="4" t="s">
        <v>100</v>
      </c>
      <c r="D39" s="4" t="s">
        <v>101</v>
      </c>
      <c r="E39" s="4" t="s">
        <v>18</v>
      </c>
      <c r="F39" s="4" t="s">
        <v>19</v>
      </c>
      <c r="G39" s="4" t="s">
        <v>24</v>
      </c>
      <c r="H39" s="4" t="s">
        <v>37</v>
      </c>
      <c r="I39" s="4"/>
    </row>
    <row r="40" spans="2:9" ht="46.5" thickTop="1" thickBot="1">
      <c r="B40" s="8" t="s">
        <v>102</v>
      </c>
      <c r="C40" s="8" t="s">
        <v>48</v>
      </c>
      <c r="D40" s="8" t="s">
        <v>103</v>
      </c>
      <c r="E40" s="8" t="s">
        <v>18</v>
      </c>
      <c r="F40" s="8" t="s">
        <v>44</v>
      </c>
      <c r="G40" s="8" t="s">
        <v>24</v>
      </c>
      <c r="H40" s="8" t="s">
        <v>37</v>
      </c>
      <c r="I40" s="8"/>
    </row>
    <row r="41" spans="2:9" ht="46.5" thickTop="1" thickBot="1">
      <c r="B41" s="4" t="s">
        <v>104</v>
      </c>
      <c r="C41" s="4" t="s">
        <v>16</v>
      </c>
      <c r="D41" s="4" t="s">
        <v>105</v>
      </c>
      <c r="E41" s="4" t="s">
        <v>18</v>
      </c>
      <c r="F41" s="4" t="s">
        <v>19</v>
      </c>
      <c r="G41" s="4" t="s">
        <v>24</v>
      </c>
      <c r="H41" s="4" t="s">
        <v>37</v>
      </c>
      <c r="I41" s="4"/>
    </row>
    <row r="42" spans="2:9" ht="61.5" thickTop="1" thickBot="1">
      <c r="B42" s="4" t="s">
        <v>106</v>
      </c>
      <c r="C42" s="5" t="s">
        <v>16</v>
      </c>
      <c r="D42" s="5" t="s">
        <v>107</v>
      </c>
      <c r="E42" s="5" t="s">
        <v>18</v>
      </c>
      <c r="F42" s="4" t="s">
        <v>44</v>
      </c>
      <c r="G42" s="5" t="s">
        <v>24</v>
      </c>
      <c r="H42" s="5" t="s">
        <v>37</v>
      </c>
      <c r="I42" s="4"/>
    </row>
    <row r="43" spans="2:9" ht="31.5" thickTop="1" thickBot="1">
      <c r="B43" s="6" t="s">
        <v>108</v>
      </c>
      <c r="C43" s="6" t="s">
        <v>48</v>
      </c>
      <c r="D43" s="6" t="s">
        <v>109</v>
      </c>
      <c r="E43" s="6" t="s">
        <v>18</v>
      </c>
      <c r="F43" s="6" t="s">
        <v>23</v>
      </c>
      <c r="G43" s="6" t="s">
        <v>24</v>
      </c>
      <c r="H43" s="6" t="s">
        <v>110</v>
      </c>
      <c r="I43" s="20" t="s">
        <v>61</v>
      </c>
    </row>
    <row r="44" spans="2:9" ht="31.5" thickTop="1" thickBot="1">
      <c r="B44" s="8" t="s">
        <v>111</v>
      </c>
      <c r="C44" s="8" t="s">
        <v>48</v>
      </c>
      <c r="D44" s="8" t="s">
        <v>112</v>
      </c>
      <c r="E44" s="8" t="s">
        <v>18</v>
      </c>
      <c r="F44" s="8" t="s">
        <v>44</v>
      </c>
      <c r="G44" s="8" t="s">
        <v>24</v>
      </c>
      <c r="H44" s="8" t="s">
        <v>25</v>
      </c>
      <c r="I44" s="8"/>
    </row>
    <row r="45" spans="2:9" ht="76.5" thickTop="1" thickBot="1">
      <c r="B45" s="4" t="s">
        <v>113</v>
      </c>
      <c r="C45" s="4" t="s">
        <v>35</v>
      </c>
      <c r="D45" s="4" t="s">
        <v>114</v>
      </c>
      <c r="E45" s="13" t="str">
        <f>+DOMINIOS!$C$16</f>
        <v>Dom_Destinacion_Economica</v>
      </c>
      <c r="F45" s="4" t="s">
        <v>19</v>
      </c>
      <c r="G45" s="4" t="s">
        <v>24</v>
      </c>
      <c r="H45" s="4" t="s">
        <v>115</v>
      </c>
      <c r="I45" s="4"/>
    </row>
    <row r="46" spans="2:9" ht="31.5" thickTop="1" thickBot="1">
      <c r="B46" s="8" t="s">
        <v>116</v>
      </c>
      <c r="C46" s="8" t="s">
        <v>35</v>
      </c>
      <c r="D46" s="8" t="s">
        <v>117</v>
      </c>
      <c r="E46" s="14" t="str">
        <f>+DOMINIOS!$C$3</f>
        <v>Dom_Derecho_Tipo</v>
      </c>
      <c r="F46" s="8" t="s">
        <v>44</v>
      </c>
      <c r="G46" s="8" t="s">
        <v>118</v>
      </c>
      <c r="H46" s="8" t="s">
        <v>119</v>
      </c>
      <c r="I46" s="8"/>
    </row>
    <row r="47" spans="2:9" ht="61.5" thickTop="1" thickBot="1">
      <c r="B47" s="8" t="s">
        <v>120</v>
      </c>
      <c r="C47" s="8" t="s">
        <v>35</v>
      </c>
      <c r="D47" s="8" t="s">
        <v>121</v>
      </c>
      <c r="E47" s="14" t="str">
        <f>+DOMINIOS!$C$62</f>
        <v>Dom_TipologiaTipo</v>
      </c>
      <c r="F47" s="8" t="s">
        <v>44</v>
      </c>
      <c r="G47" s="8" t="s">
        <v>68</v>
      </c>
      <c r="H47" s="8" t="s">
        <v>122</v>
      </c>
      <c r="I47" s="8"/>
    </row>
    <row r="48" spans="2:9" ht="15.75" thickTop="1"/>
  </sheetData>
  <mergeCells count="7">
    <mergeCell ref="B2:H2"/>
    <mergeCell ref="B4:B5"/>
    <mergeCell ref="C4:I4"/>
    <mergeCell ref="C5:I5"/>
    <mergeCell ref="I10:I13"/>
    <mergeCell ref="C6:I6"/>
    <mergeCell ref="C7:I7"/>
  </mergeCells>
  <hyperlinks>
    <hyperlink ref="E45" location="DOMINIOS!C16" display="DOMINIOS!C16" xr:uid="{00000000-0004-0000-0000-000000000000}"/>
    <hyperlink ref="E14" location="DOMINIOS!C10" display="DOMINIOS!C10" xr:uid="{00000000-0004-0000-0000-000001000000}"/>
    <hyperlink ref="E19" location="DOMINIOS!C33" display="DOMINIOS!C33" xr:uid="{00000000-0004-0000-0000-000002000000}"/>
    <hyperlink ref="E38" location="DOMINIOS!C77" display="DOMINIOS!C77" xr:uid="{00000000-0004-0000-0000-000003000000}"/>
    <hyperlink ref="E46" location="DOMINIOS!C3" display="DOMINIOS!C3" xr:uid="{00000000-0004-0000-0000-000004000000}"/>
    <hyperlink ref="E47" location="DOMINIOS!C48" display="DOMINIOS!C48" xr:uid="{00000000-0004-0000-0000-000005000000}"/>
    <hyperlink ref="E10" location="NUMERO_PREDIAL_ANTIGUO!A1" display="Numero_Predial_Antiguo" xr:uid="{00000000-0004-0000-0000-000006000000}"/>
    <hyperlink ref="E11" location="NUMERO_PREDIAL_NUEVO!A1" display="Numero_Predial_Nuevo" xr:uid="{00000000-0004-0000-0000-000007000000}"/>
  </hyperlinks>
  <pageMargins left="0.7" right="0.7" top="0.75" bottom="0.75" header="0.3" footer="0.3"/>
  <pageSetup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41"/>
  <sheetViews>
    <sheetView topLeftCell="A2" workbookViewId="0">
      <selection activeCell="C23" sqref="C23"/>
    </sheetView>
  </sheetViews>
  <sheetFormatPr defaultColWidth="11.42578125" defaultRowHeight="15"/>
  <cols>
    <col min="2" max="2" width="28.85546875" customWidth="1"/>
    <col min="4" max="4" width="49.85546875" customWidth="1"/>
    <col min="5" max="5" width="18.5703125" customWidth="1"/>
    <col min="6" max="6" width="11.7109375" customWidth="1"/>
    <col min="7" max="7" width="30.42578125" customWidth="1"/>
    <col min="8" max="8" width="11.42578125" customWidth="1"/>
    <col min="9" max="9" width="41.85546875" customWidth="1"/>
  </cols>
  <sheetData>
    <row r="2" spans="2:9">
      <c r="B2" s="21" t="s">
        <v>0</v>
      </c>
      <c r="C2" s="22"/>
      <c r="D2" s="22"/>
      <c r="E2" s="22"/>
      <c r="F2" s="22"/>
      <c r="G2" s="22"/>
      <c r="H2" s="22"/>
    </row>
    <row r="3" spans="2:9" ht="15.75" thickBot="1"/>
    <row r="4" spans="2:9" ht="15.6" customHeight="1" thickTop="1" thickBot="1">
      <c r="B4" s="23" t="s">
        <v>1</v>
      </c>
      <c r="C4" s="31" t="s">
        <v>123</v>
      </c>
      <c r="D4" s="32"/>
      <c r="E4" s="32"/>
      <c r="F4" s="32"/>
      <c r="G4" s="32"/>
      <c r="H4" s="32"/>
      <c r="I4" s="33"/>
    </row>
    <row r="5" spans="2:9" ht="41.25" customHeight="1" thickTop="1" thickBot="1">
      <c r="B5" s="24"/>
      <c r="C5" s="25" t="s">
        <v>124</v>
      </c>
      <c r="D5" s="26"/>
      <c r="E5" s="26"/>
      <c r="F5" s="26"/>
      <c r="G5" s="26"/>
      <c r="H5" s="26"/>
      <c r="I5" s="27"/>
    </row>
    <row r="6" spans="2:9" ht="16.5" thickTop="1" thickBot="1">
      <c r="B6" s="11" t="s">
        <v>4</v>
      </c>
      <c r="C6" s="25" t="s">
        <v>123</v>
      </c>
      <c r="D6" s="26"/>
      <c r="E6" s="26"/>
      <c r="F6" s="26"/>
      <c r="G6" s="26"/>
      <c r="H6" s="26"/>
      <c r="I6" s="27"/>
    </row>
    <row r="7" spans="2:9" ht="16.5" thickTop="1" thickBot="1">
      <c r="B7" s="11" t="s">
        <v>5</v>
      </c>
      <c r="C7" s="25" t="s">
        <v>6</v>
      </c>
      <c r="D7" s="26"/>
      <c r="E7" s="26"/>
      <c r="F7" s="26"/>
      <c r="G7" s="26"/>
      <c r="H7" s="26"/>
      <c r="I7" s="27"/>
    </row>
    <row r="8" spans="2:9" ht="31.5" thickTop="1" thickBot="1">
      <c r="B8" s="12" t="s">
        <v>7</v>
      </c>
      <c r="C8" s="12" t="s">
        <v>8</v>
      </c>
      <c r="D8" s="12" t="s">
        <v>9</v>
      </c>
      <c r="E8" s="12" t="s">
        <v>10</v>
      </c>
      <c r="F8" s="12" t="s">
        <v>11</v>
      </c>
      <c r="G8" s="12" t="s">
        <v>12</v>
      </c>
      <c r="H8" s="12" t="s">
        <v>13</v>
      </c>
      <c r="I8" s="12" t="s">
        <v>14</v>
      </c>
    </row>
    <row r="9" spans="2:9" ht="16.5" thickTop="1" thickBot="1">
      <c r="B9" s="4" t="s">
        <v>125</v>
      </c>
      <c r="C9" s="4" t="s">
        <v>16</v>
      </c>
      <c r="D9" s="4" t="s">
        <v>17</v>
      </c>
      <c r="E9" s="4" t="s">
        <v>18</v>
      </c>
      <c r="F9" s="4" t="s">
        <v>19</v>
      </c>
      <c r="G9" s="4"/>
      <c r="H9" s="4"/>
      <c r="I9" s="4"/>
    </row>
    <row r="10" spans="2:9" ht="31.5" thickTop="1" thickBot="1">
      <c r="B10" s="6" t="s">
        <v>20</v>
      </c>
      <c r="C10" s="6" t="s">
        <v>16</v>
      </c>
      <c r="D10" s="6" t="s">
        <v>21</v>
      </c>
      <c r="E10" s="19" t="s">
        <v>22</v>
      </c>
      <c r="F10" s="6" t="s">
        <v>23</v>
      </c>
      <c r="G10" s="6" t="s">
        <v>24</v>
      </c>
      <c r="H10" s="6" t="s">
        <v>25</v>
      </c>
      <c r="I10" s="28" t="s">
        <v>26</v>
      </c>
    </row>
    <row r="11" spans="2:9" ht="31.5" thickTop="1" thickBot="1">
      <c r="B11" s="6" t="s">
        <v>27</v>
      </c>
      <c r="C11" s="6" t="s">
        <v>16</v>
      </c>
      <c r="D11" s="6" t="s">
        <v>28</v>
      </c>
      <c r="E11" s="19" t="s">
        <v>29</v>
      </c>
      <c r="F11" s="6" t="s">
        <v>23</v>
      </c>
      <c r="G11" s="6" t="s">
        <v>24</v>
      </c>
      <c r="H11" s="6" t="s">
        <v>25</v>
      </c>
      <c r="I11" s="29"/>
    </row>
    <row r="12" spans="2:9" ht="31.5" thickTop="1" thickBot="1">
      <c r="B12" s="6" t="s">
        <v>30</v>
      </c>
      <c r="C12" s="6" t="s">
        <v>16</v>
      </c>
      <c r="D12" s="6" t="s">
        <v>31</v>
      </c>
      <c r="E12" s="6"/>
      <c r="F12" s="6" t="s">
        <v>23</v>
      </c>
      <c r="G12" s="6" t="s">
        <v>24</v>
      </c>
      <c r="H12" s="6" t="s">
        <v>25</v>
      </c>
      <c r="I12" s="29"/>
    </row>
    <row r="13" spans="2:9" ht="31.5" thickTop="1" thickBot="1">
      <c r="B13" s="6" t="s">
        <v>32</v>
      </c>
      <c r="C13" s="6" t="s">
        <v>16</v>
      </c>
      <c r="D13" s="6" t="s">
        <v>33</v>
      </c>
      <c r="E13" s="6" t="s">
        <v>18</v>
      </c>
      <c r="F13" s="6" t="s">
        <v>23</v>
      </c>
      <c r="G13" s="6" t="s">
        <v>24</v>
      </c>
      <c r="H13" s="6" t="s">
        <v>25</v>
      </c>
      <c r="I13" s="30"/>
    </row>
    <row r="14" spans="2:9" ht="46.5" thickTop="1" thickBot="1">
      <c r="B14" s="4" t="s">
        <v>34</v>
      </c>
      <c r="C14" s="4" t="s">
        <v>35</v>
      </c>
      <c r="D14" s="4" t="s">
        <v>36</v>
      </c>
      <c r="E14" s="13" t="str">
        <f>+DOMINIOS!$C$10</f>
        <v>Dom_Tipo_Oferta</v>
      </c>
      <c r="F14" s="4" t="s">
        <v>19</v>
      </c>
      <c r="G14" s="4" t="s">
        <v>24</v>
      </c>
      <c r="H14" s="4" t="s">
        <v>37</v>
      </c>
      <c r="I14" s="4"/>
    </row>
    <row r="15" spans="2:9" ht="31.5" thickTop="1" thickBot="1">
      <c r="B15" s="4" t="s">
        <v>38</v>
      </c>
      <c r="C15" s="4" t="s">
        <v>16</v>
      </c>
      <c r="D15" s="4" t="s">
        <v>126</v>
      </c>
      <c r="E15" s="4" t="s">
        <v>18</v>
      </c>
      <c r="F15" s="4" t="s">
        <v>19</v>
      </c>
      <c r="G15" s="4" t="s">
        <v>24</v>
      </c>
      <c r="H15" s="4" t="s">
        <v>25</v>
      </c>
      <c r="I15" s="4"/>
    </row>
    <row r="16" spans="2:9" ht="31.5" thickTop="1" thickBot="1">
      <c r="B16" s="4" t="s">
        <v>40</v>
      </c>
      <c r="C16" s="4" t="s">
        <v>16</v>
      </c>
      <c r="D16" s="4" t="s">
        <v>127</v>
      </c>
      <c r="E16" s="4" t="s">
        <v>18</v>
      </c>
      <c r="F16" s="4" t="s">
        <v>19</v>
      </c>
      <c r="G16" s="4" t="s">
        <v>24</v>
      </c>
      <c r="H16" s="4" t="s">
        <v>25</v>
      </c>
      <c r="I16" s="4"/>
    </row>
    <row r="17" spans="2:9" ht="31.5" thickTop="1" thickBot="1">
      <c r="B17" s="8" t="s">
        <v>42</v>
      </c>
      <c r="C17" s="8" t="s">
        <v>16</v>
      </c>
      <c r="D17" s="8" t="s">
        <v>43</v>
      </c>
      <c r="E17" s="8" t="s">
        <v>18</v>
      </c>
      <c r="F17" s="8" t="s">
        <v>44</v>
      </c>
      <c r="G17" s="8" t="s">
        <v>45</v>
      </c>
      <c r="H17" s="8" t="s">
        <v>46</v>
      </c>
      <c r="I17" s="8"/>
    </row>
    <row r="18" spans="2:9" ht="76.5" thickTop="1" thickBot="1">
      <c r="B18" s="8" t="s">
        <v>47</v>
      </c>
      <c r="C18" s="8" t="s">
        <v>48</v>
      </c>
      <c r="D18" s="8" t="s">
        <v>49</v>
      </c>
      <c r="E18" s="8" t="s">
        <v>18</v>
      </c>
      <c r="F18" s="8" t="s">
        <v>44</v>
      </c>
      <c r="G18" s="8"/>
      <c r="H18" s="8" t="s">
        <v>50</v>
      </c>
      <c r="I18" s="8"/>
    </row>
    <row r="19" spans="2:9" ht="61.5" thickTop="1" thickBot="1">
      <c r="B19" s="4" t="s">
        <v>51</v>
      </c>
      <c r="C19" s="4" t="s">
        <v>52</v>
      </c>
      <c r="D19" s="4" t="s">
        <v>53</v>
      </c>
      <c r="E19" s="13" t="str">
        <f>+DOMINIOS!$C$47</f>
        <v>Ext_Direccion</v>
      </c>
      <c r="F19" s="4" t="s">
        <v>19</v>
      </c>
      <c r="G19" s="4" t="s">
        <v>24</v>
      </c>
      <c r="H19" s="4" t="s">
        <v>25</v>
      </c>
      <c r="I19" s="4"/>
    </row>
    <row r="20" spans="2:9" ht="31.5" thickTop="1" thickBot="1">
      <c r="B20" s="6" t="s">
        <v>54</v>
      </c>
      <c r="C20" s="6" t="s">
        <v>48</v>
      </c>
      <c r="D20" s="6" t="s">
        <v>128</v>
      </c>
      <c r="E20" s="6" t="s">
        <v>18</v>
      </c>
      <c r="F20" s="6" t="s">
        <v>23</v>
      </c>
      <c r="G20" s="6"/>
      <c r="H20" s="6"/>
      <c r="I20" s="20" t="s">
        <v>56</v>
      </c>
    </row>
    <row r="21" spans="2:9" ht="46.5" thickTop="1" thickBot="1">
      <c r="B21" s="6" t="s">
        <v>129</v>
      </c>
      <c r="C21" s="6" t="s">
        <v>48</v>
      </c>
      <c r="D21" s="6" t="s">
        <v>60</v>
      </c>
      <c r="E21" s="6" t="s">
        <v>18</v>
      </c>
      <c r="F21" s="6" t="s">
        <v>23</v>
      </c>
      <c r="G21" s="6" t="s">
        <v>24</v>
      </c>
      <c r="H21" s="6" t="s">
        <v>37</v>
      </c>
      <c r="I21" s="20" t="s">
        <v>61</v>
      </c>
    </row>
    <row r="22" spans="2:9" ht="31.5" thickTop="1" thickBot="1">
      <c r="B22" s="6" t="s">
        <v>62</v>
      </c>
      <c r="C22" s="6" t="s">
        <v>48</v>
      </c>
      <c r="D22" s="6" t="s">
        <v>63</v>
      </c>
      <c r="E22" s="6" t="s">
        <v>18</v>
      </c>
      <c r="F22" s="6" t="s">
        <v>23</v>
      </c>
      <c r="G22" s="6"/>
      <c r="H22" s="6"/>
      <c r="I22" s="20" t="s">
        <v>61</v>
      </c>
    </row>
    <row r="23" spans="2:9" ht="46.5" thickTop="1" thickBot="1">
      <c r="B23" s="6" t="s">
        <v>64</v>
      </c>
      <c r="C23" s="6" t="s">
        <v>48</v>
      </c>
      <c r="D23" s="6" t="s">
        <v>65</v>
      </c>
      <c r="E23" s="6" t="s">
        <v>18</v>
      </c>
      <c r="F23" s="6" t="s">
        <v>23</v>
      </c>
      <c r="G23" s="6" t="s">
        <v>24</v>
      </c>
      <c r="H23" s="6" t="s">
        <v>37</v>
      </c>
      <c r="I23" s="20" t="s">
        <v>61</v>
      </c>
    </row>
    <row r="24" spans="2:9" ht="46.5" thickTop="1" thickBot="1">
      <c r="B24" s="8" t="s">
        <v>66</v>
      </c>
      <c r="C24" s="8" t="s">
        <v>48</v>
      </c>
      <c r="D24" s="8" t="s">
        <v>67</v>
      </c>
      <c r="E24" s="8" t="s">
        <v>18</v>
      </c>
      <c r="F24" s="8" t="s">
        <v>44</v>
      </c>
      <c r="G24" s="8" t="s">
        <v>68</v>
      </c>
      <c r="H24" s="8" t="s">
        <v>69</v>
      </c>
      <c r="I24" s="8"/>
    </row>
    <row r="25" spans="2:9" ht="31.5" thickTop="1" thickBot="1">
      <c r="B25" s="4" t="s">
        <v>130</v>
      </c>
      <c r="C25" s="4" t="s">
        <v>48</v>
      </c>
      <c r="D25" s="4" t="s">
        <v>131</v>
      </c>
      <c r="E25" s="4" t="s">
        <v>18</v>
      </c>
      <c r="F25" s="4" t="s">
        <v>19</v>
      </c>
      <c r="G25" s="4"/>
      <c r="H25" s="4"/>
      <c r="I25" s="8"/>
    </row>
    <row r="26" spans="2:9" ht="16.5" thickTop="1" thickBot="1">
      <c r="B26" s="4" t="s">
        <v>132</v>
      </c>
      <c r="C26" s="4" t="s">
        <v>48</v>
      </c>
      <c r="D26" s="4" t="s">
        <v>133</v>
      </c>
      <c r="E26" s="4" t="s">
        <v>18</v>
      </c>
      <c r="F26" s="4" t="s">
        <v>19</v>
      </c>
      <c r="G26" s="4"/>
      <c r="H26" s="4"/>
      <c r="I26" s="8"/>
    </row>
    <row r="27" spans="2:9" ht="31.5" thickTop="1" thickBot="1">
      <c r="B27" s="4" t="s">
        <v>134</v>
      </c>
      <c r="C27" s="4" t="s">
        <v>48</v>
      </c>
      <c r="D27" s="4" t="s">
        <v>135</v>
      </c>
      <c r="E27" s="4" t="s">
        <v>18</v>
      </c>
      <c r="F27" s="4" t="s">
        <v>19</v>
      </c>
      <c r="G27" s="4"/>
      <c r="H27" s="4"/>
      <c r="I27" s="4"/>
    </row>
    <row r="28" spans="2:9" ht="31.5" thickTop="1" thickBot="1">
      <c r="B28" s="4" t="s">
        <v>136</v>
      </c>
      <c r="C28" s="4" t="s">
        <v>48</v>
      </c>
      <c r="D28" s="4" t="s">
        <v>137</v>
      </c>
      <c r="E28" s="4" t="s">
        <v>18</v>
      </c>
      <c r="F28" s="4" t="s">
        <v>19</v>
      </c>
      <c r="G28" s="4"/>
      <c r="H28" s="4"/>
      <c r="I28" s="8"/>
    </row>
    <row r="29" spans="2:9" ht="30">
      <c r="B29" s="4" t="s">
        <v>89</v>
      </c>
      <c r="C29" s="4" t="s">
        <v>16</v>
      </c>
      <c r="D29" s="4" t="s">
        <v>90</v>
      </c>
      <c r="E29" s="4" t="s">
        <v>18</v>
      </c>
      <c r="F29" s="4" t="s">
        <v>19</v>
      </c>
      <c r="G29" s="4"/>
      <c r="H29" s="4"/>
      <c r="I29" s="8" t="s">
        <v>91</v>
      </c>
    </row>
    <row r="30" spans="2:9" ht="16.5" thickTop="1" thickBot="1">
      <c r="B30" s="4" t="s">
        <v>92</v>
      </c>
      <c r="C30" s="4" t="s">
        <v>48</v>
      </c>
      <c r="D30" s="4" t="s">
        <v>93</v>
      </c>
      <c r="E30" s="4" t="s">
        <v>18</v>
      </c>
      <c r="F30" s="4" t="s">
        <v>19</v>
      </c>
      <c r="G30" s="4"/>
      <c r="H30" s="4"/>
      <c r="I30" s="8"/>
    </row>
    <row r="31" spans="2:9" ht="16.5" thickTop="1" thickBot="1">
      <c r="B31" s="4" t="s">
        <v>94</v>
      </c>
      <c r="C31" s="4" t="s">
        <v>48</v>
      </c>
      <c r="D31" s="4" t="s">
        <v>95</v>
      </c>
      <c r="E31" s="4" t="s">
        <v>18</v>
      </c>
      <c r="F31" s="4" t="s">
        <v>19</v>
      </c>
      <c r="G31" s="4"/>
      <c r="H31" s="4"/>
      <c r="I31" s="8"/>
    </row>
    <row r="32" spans="2:9" ht="46.5" thickTop="1" thickBot="1">
      <c r="B32" s="4" t="s">
        <v>96</v>
      </c>
      <c r="C32" s="4" t="s">
        <v>35</v>
      </c>
      <c r="D32" s="4" t="s">
        <v>97</v>
      </c>
      <c r="E32" s="13" t="str">
        <f>+DOMINIOS!$C$91</f>
        <v>Dom_EstadoConservacionTipo</v>
      </c>
      <c r="F32" s="4" t="s">
        <v>19</v>
      </c>
      <c r="G32" s="4" t="s">
        <v>68</v>
      </c>
      <c r="H32" s="4" t="s">
        <v>98</v>
      </c>
      <c r="I32" s="8"/>
    </row>
    <row r="33" spans="2:9" ht="46.5" thickTop="1" thickBot="1">
      <c r="B33" s="4" t="s">
        <v>99</v>
      </c>
      <c r="C33" s="4" t="s">
        <v>100</v>
      </c>
      <c r="D33" s="4" t="s">
        <v>101</v>
      </c>
      <c r="E33" s="4" t="s">
        <v>18</v>
      </c>
      <c r="F33" s="4" t="s">
        <v>19</v>
      </c>
      <c r="G33" s="4" t="s">
        <v>24</v>
      </c>
      <c r="H33" s="4" t="s">
        <v>37</v>
      </c>
      <c r="I33" s="8"/>
    </row>
    <row r="34" spans="2:9" ht="46.5" thickTop="1" thickBot="1">
      <c r="B34" s="8" t="s">
        <v>102</v>
      </c>
      <c r="C34" s="8" t="s">
        <v>48</v>
      </c>
      <c r="D34" s="8" t="s">
        <v>103</v>
      </c>
      <c r="E34" s="8" t="s">
        <v>18</v>
      </c>
      <c r="F34" s="8" t="s">
        <v>19</v>
      </c>
      <c r="G34" s="8" t="s">
        <v>24</v>
      </c>
      <c r="H34" s="8" t="s">
        <v>37</v>
      </c>
      <c r="I34" s="8"/>
    </row>
    <row r="35" spans="2:9" ht="46.5" thickTop="1" thickBot="1">
      <c r="B35" s="5" t="s">
        <v>104</v>
      </c>
      <c r="C35" s="4" t="s">
        <v>16</v>
      </c>
      <c r="D35" s="4" t="s">
        <v>105</v>
      </c>
      <c r="E35" s="4" t="s">
        <v>18</v>
      </c>
      <c r="F35" s="4" t="s">
        <v>19</v>
      </c>
      <c r="G35" s="4" t="s">
        <v>24</v>
      </c>
      <c r="H35" s="4" t="s">
        <v>37</v>
      </c>
      <c r="I35" s="4"/>
    </row>
    <row r="36" spans="2:9" ht="61.5" thickTop="1" thickBot="1">
      <c r="B36" s="4" t="s">
        <v>106</v>
      </c>
      <c r="C36" s="4" t="s">
        <v>16</v>
      </c>
      <c r="D36" s="4" t="s">
        <v>107</v>
      </c>
      <c r="E36" s="4" t="s">
        <v>18</v>
      </c>
      <c r="F36" s="4" t="s">
        <v>19</v>
      </c>
      <c r="G36" s="4" t="s">
        <v>24</v>
      </c>
      <c r="H36" s="4" t="s">
        <v>37</v>
      </c>
      <c r="I36" s="4"/>
    </row>
    <row r="37" spans="2:9" ht="31.5" thickTop="1" thickBot="1">
      <c r="B37" s="8" t="s">
        <v>111</v>
      </c>
      <c r="C37" s="8" t="s">
        <v>48</v>
      </c>
      <c r="D37" s="8" t="s">
        <v>112</v>
      </c>
      <c r="E37" s="8" t="s">
        <v>18</v>
      </c>
      <c r="F37" s="8" t="s">
        <v>44</v>
      </c>
      <c r="G37" s="8" t="s">
        <v>24</v>
      </c>
      <c r="H37" s="8" t="s">
        <v>25</v>
      </c>
      <c r="I37" s="4"/>
    </row>
    <row r="38" spans="2:9" ht="76.5" thickTop="1" thickBot="1">
      <c r="B38" s="4" t="s">
        <v>113</v>
      </c>
      <c r="C38" s="4" t="s">
        <v>35</v>
      </c>
      <c r="D38" s="4" t="s">
        <v>114</v>
      </c>
      <c r="E38" s="13" t="str">
        <f>+DOMINIOS!$C$16</f>
        <v>Dom_Destinacion_Economica</v>
      </c>
      <c r="F38" s="4" t="s">
        <v>19</v>
      </c>
      <c r="G38" s="4" t="s">
        <v>24</v>
      </c>
      <c r="H38" s="4" t="s">
        <v>115</v>
      </c>
      <c r="I38" s="4"/>
    </row>
    <row r="39" spans="2:9" ht="31.5" thickTop="1" thickBot="1">
      <c r="B39" s="8" t="s">
        <v>116</v>
      </c>
      <c r="C39" s="8" t="s">
        <v>35</v>
      </c>
      <c r="D39" s="8" t="s">
        <v>117</v>
      </c>
      <c r="E39" s="14" t="str">
        <f>+DOMINIOS!$C$3</f>
        <v>Dom_Derecho_Tipo</v>
      </c>
      <c r="F39" s="8" t="s">
        <v>44</v>
      </c>
      <c r="G39" s="8" t="s">
        <v>118</v>
      </c>
      <c r="H39" s="8" t="s">
        <v>119</v>
      </c>
      <c r="I39" s="4"/>
    </row>
    <row r="40" spans="2:9" ht="61.5" thickTop="1" thickBot="1">
      <c r="B40" s="8" t="s">
        <v>120</v>
      </c>
      <c r="C40" s="8" t="s">
        <v>35</v>
      </c>
      <c r="D40" s="8" t="s">
        <v>138</v>
      </c>
      <c r="E40" s="14" t="str">
        <f>+DOMINIOS!$C$62</f>
        <v>Dom_TipologiaTipo</v>
      </c>
      <c r="F40" s="8" t="s">
        <v>19</v>
      </c>
      <c r="G40" s="8" t="s">
        <v>68</v>
      </c>
      <c r="H40" s="8" t="s">
        <v>122</v>
      </c>
      <c r="I40" s="8"/>
    </row>
    <row r="41" spans="2:9" ht="15.75" thickTop="1"/>
  </sheetData>
  <mergeCells count="7">
    <mergeCell ref="B2:H2"/>
    <mergeCell ref="B4:B5"/>
    <mergeCell ref="I10:I13"/>
    <mergeCell ref="C4:I4"/>
    <mergeCell ref="C5:I5"/>
    <mergeCell ref="C6:I6"/>
    <mergeCell ref="C7:I7"/>
  </mergeCells>
  <hyperlinks>
    <hyperlink ref="E14" location="DOMINIOS!C10" display="DOMINIOS!C10" xr:uid="{00000000-0004-0000-0100-000000000000}"/>
    <hyperlink ref="E19" location="DOMINIOS!C33" display="DOMINIOS!C33" xr:uid="{00000000-0004-0000-0100-000001000000}"/>
    <hyperlink ref="E38" location="DOMINIOS!C16" display="DOMINIOS!C16" xr:uid="{00000000-0004-0000-0100-000002000000}"/>
    <hyperlink ref="E39" location="DOMINIOS!C3" display="DOMINIOS!C3" xr:uid="{00000000-0004-0000-0100-000003000000}"/>
    <hyperlink ref="E40" location="DOMINIOS!C48" display="DOMINIOS!C48" xr:uid="{00000000-0004-0000-0100-000004000000}"/>
    <hyperlink ref="E10" location="NUMERO_PREDIAL_ANTIGUO!A1" display="Numero_Predial_Antiguo" xr:uid="{00000000-0004-0000-0100-000005000000}"/>
    <hyperlink ref="E11" location="NUMERO_PREDIAL_NUEVO!A1" display="Numero_Predial_Nuevo" xr:uid="{00000000-0004-0000-0100-000006000000}"/>
    <hyperlink ref="E32" location="DOMINIOS!C77" display="DOMINIOS!C77" xr:uid="{00000000-0004-0000-0100-000007000000}"/>
  </hyperlinks>
  <pageMargins left="0.7" right="0.7" top="0.75" bottom="0.75" header="0.3" footer="0.3"/>
  <pageSetup orientation="portrait" horizontalDpi="4294967292"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44"/>
  <sheetViews>
    <sheetView topLeftCell="A4" workbookViewId="0">
      <selection activeCell="I30" sqref="I30"/>
    </sheetView>
  </sheetViews>
  <sheetFormatPr defaultColWidth="11.42578125" defaultRowHeight="15"/>
  <cols>
    <col min="2" max="2" width="28.85546875" customWidth="1"/>
    <col min="4" max="4" width="49.85546875" customWidth="1"/>
    <col min="5" max="5" width="18.5703125" customWidth="1"/>
    <col min="6" max="6" width="11.7109375" customWidth="1"/>
    <col min="7" max="7" width="30.42578125" customWidth="1"/>
    <col min="8" max="8" width="11.42578125" customWidth="1"/>
    <col min="9" max="9" width="41.85546875" customWidth="1"/>
  </cols>
  <sheetData>
    <row r="2" spans="2:9">
      <c r="B2" s="21" t="s">
        <v>139</v>
      </c>
      <c r="C2" s="22"/>
      <c r="D2" s="22"/>
      <c r="E2" s="22"/>
      <c r="F2" s="22"/>
      <c r="G2" s="22"/>
      <c r="H2" s="22"/>
    </row>
    <row r="3" spans="2:9" ht="15.75" thickBot="1"/>
    <row r="4" spans="2:9" ht="15.6" customHeight="1" thickTop="1" thickBot="1">
      <c r="B4" s="23" t="s">
        <v>1</v>
      </c>
      <c r="C4" s="31" t="s">
        <v>140</v>
      </c>
      <c r="D4" s="32"/>
      <c r="E4" s="32"/>
      <c r="F4" s="32"/>
      <c r="G4" s="32"/>
      <c r="H4" s="32"/>
      <c r="I4" s="33"/>
    </row>
    <row r="5" spans="2:9" ht="41.25" customHeight="1" thickTop="1" thickBot="1">
      <c r="B5" s="24"/>
      <c r="C5" s="25" t="s">
        <v>141</v>
      </c>
      <c r="D5" s="26"/>
      <c r="E5" s="26"/>
      <c r="F5" s="26"/>
      <c r="G5" s="26"/>
      <c r="H5" s="26"/>
      <c r="I5" s="27"/>
    </row>
    <row r="6" spans="2:9" ht="15.6" customHeight="1" thickTop="1" thickBot="1">
      <c r="B6" s="11" t="s">
        <v>4</v>
      </c>
      <c r="C6" s="25" t="s">
        <v>140</v>
      </c>
      <c r="D6" s="26"/>
      <c r="E6" s="26"/>
      <c r="F6" s="26"/>
      <c r="G6" s="26"/>
      <c r="H6" s="26"/>
      <c r="I6" s="27"/>
    </row>
    <row r="7" spans="2:9" ht="16.5" thickTop="1" thickBot="1">
      <c r="B7" s="11" t="s">
        <v>5</v>
      </c>
      <c r="C7" s="25" t="s">
        <v>6</v>
      </c>
      <c r="D7" s="26"/>
      <c r="E7" s="26"/>
      <c r="F7" s="26"/>
      <c r="G7" s="26"/>
      <c r="H7" s="26"/>
      <c r="I7" s="27"/>
    </row>
    <row r="8" spans="2:9" ht="31.5" thickTop="1" thickBot="1">
      <c r="B8" s="12" t="s">
        <v>7</v>
      </c>
      <c r="C8" s="12" t="s">
        <v>8</v>
      </c>
      <c r="D8" s="12" t="s">
        <v>9</v>
      </c>
      <c r="E8" s="12" t="s">
        <v>10</v>
      </c>
      <c r="F8" s="12" t="s">
        <v>11</v>
      </c>
      <c r="G8" s="12" t="s">
        <v>12</v>
      </c>
      <c r="H8" s="12" t="s">
        <v>13</v>
      </c>
      <c r="I8" s="12" t="s">
        <v>14</v>
      </c>
    </row>
    <row r="9" spans="2:9" ht="16.5" thickTop="1" thickBot="1">
      <c r="B9" s="4" t="s">
        <v>142</v>
      </c>
      <c r="C9" s="4" t="s">
        <v>16</v>
      </c>
      <c r="D9" s="4" t="s">
        <v>17</v>
      </c>
      <c r="E9" s="4" t="s">
        <v>18</v>
      </c>
      <c r="F9" s="4" t="s">
        <v>19</v>
      </c>
      <c r="G9" s="4"/>
      <c r="H9" s="4"/>
      <c r="I9" s="4"/>
    </row>
    <row r="10" spans="2:9" ht="31.5" thickTop="1" thickBot="1">
      <c r="B10" s="6" t="s">
        <v>20</v>
      </c>
      <c r="C10" s="6" t="s">
        <v>16</v>
      </c>
      <c r="D10" s="6" t="s">
        <v>21</v>
      </c>
      <c r="E10" s="19" t="s">
        <v>22</v>
      </c>
      <c r="F10" s="6" t="s">
        <v>23</v>
      </c>
      <c r="G10" s="6" t="s">
        <v>24</v>
      </c>
      <c r="H10" s="6" t="s">
        <v>25</v>
      </c>
      <c r="I10" s="28" t="s">
        <v>26</v>
      </c>
    </row>
    <row r="11" spans="2:9" ht="31.5" thickTop="1" thickBot="1">
      <c r="B11" s="6" t="s">
        <v>27</v>
      </c>
      <c r="C11" s="6" t="s">
        <v>16</v>
      </c>
      <c r="D11" s="6" t="s">
        <v>28</v>
      </c>
      <c r="E11" s="19" t="s">
        <v>29</v>
      </c>
      <c r="F11" s="6" t="s">
        <v>23</v>
      </c>
      <c r="G11" s="6" t="s">
        <v>24</v>
      </c>
      <c r="H11" s="6" t="s">
        <v>25</v>
      </c>
      <c r="I11" s="29"/>
    </row>
    <row r="12" spans="2:9" ht="31.5" thickTop="1" thickBot="1">
      <c r="B12" s="6" t="s">
        <v>30</v>
      </c>
      <c r="C12" s="6" t="s">
        <v>16</v>
      </c>
      <c r="D12" s="6" t="s">
        <v>31</v>
      </c>
      <c r="E12" s="6"/>
      <c r="F12" s="6" t="s">
        <v>23</v>
      </c>
      <c r="G12" s="6" t="s">
        <v>24</v>
      </c>
      <c r="H12" s="6" t="s">
        <v>25</v>
      </c>
      <c r="I12" s="29"/>
    </row>
    <row r="13" spans="2:9" ht="30">
      <c r="B13" s="6" t="s">
        <v>32</v>
      </c>
      <c r="C13" s="6" t="s">
        <v>16</v>
      </c>
      <c r="D13" s="6" t="s">
        <v>143</v>
      </c>
      <c r="E13" s="6" t="s">
        <v>18</v>
      </c>
      <c r="F13" s="6" t="s">
        <v>23</v>
      </c>
      <c r="G13" s="6" t="s">
        <v>24</v>
      </c>
      <c r="H13" s="6" t="s">
        <v>25</v>
      </c>
      <c r="I13" s="30"/>
    </row>
    <row r="14" spans="2:9" ht="46.5" thickTop="1" thickBot="1">
      <c r="B14" s="4" t="s">
        <v>34</v>
      </c>
      <c r="C14" s="4" t="s">
        <v>35</v>
      </c>
      <c r="D14" s="4" t="s">
        <v>36</v>
      </c>
      <c r="E14" s="13" t="str">
        <f>+DOMINIOS!$C$10</f>
        <v>Dom_Tipo_Oferta</v>
      </c>
      <c r="F14" s="4" t="s">
        <v>19</v>
      </c>
      <c r="G14" s="4" t="s">
        <v>24</v>
      </c>
      <c r="H14" s="4" t="s">
        <v>37</v>
      </c>
      <c r="I14" s="4"/>
    </row>
    <row r="15" spans="2:9" ht="31.5" thickTop="1" thickBot="1">
      <c r="B15" s="4" t="s">
        <v>38</v>
      </c>
      <c r="C15" s="4" t="s">
        <v>16</v>
      </c>
      <c r="D15" s="4" t="s">
        <v>126</v>
      </c>
      <c r="E15" s="4" t="s">
        <v>18</v>
      </c>
      <c r="F15" s="4" t="s">
        <v>19</v>
      </c>
      <c r="G15" s="4" t="s">
        <v>24</v>
      </c>
      <c r="H15" s="4" t="s">
        <v>25</v>
      </c>
      <c r="I15" s="4"/>
    </row>
    <row r="16" spans="2:9" ht="31.5" thickTop="1" thickBot="1">
      <c r="B16" s="4" t="s">
        <v>40</v>
      </c>
      <c r="C16" s="4" t="s">
        <v>16</v>
      </c>
      <c r="D16" s="4" t="s">
        <v>127</v>
      </c>
      <c r="E16" s="4" t="s">
        <v>18</v>
      </c>
      <c r="F16" s="4" t="s">
        <v>19</v>
      </c>
      <c r="G16" s="4" t="s">
        <v>24</v>
      </c>
      <c r="H16" s="4" t="s">
        <v>25</v>
      </c>
      <c r="I16" s="4"/>
    </row>
    <row r="17" spans="2:9" ht="31.5" thickTop="1" thickBot="1">
      <c r="B17" s="4" t="s">
        <v>144</v>
      </c>
      <c r="C17" s="4" t="s">
        <v>16</v>
      </c>
      <c r="D17" s="4" t="s">
        <v>43</v>
      </c>
      <c r="E17" s="4" t="s">
        <v>18</v>
      </c>
      <c r="F17" s="4" t="s">
        <v>19</v>
      </c>
      <c r="G17" s="4" t="s">
        <v>45</v>
      </c>
      <c r="H17" s="4" t="s">
        <v>46</v>
      </c>
      <c r="I17" s="4"/>
    </row>
    <row r="18" spans="2:9" ht="46.5" thickTop="1" thickBot="1">
      <c r="B18" s="4" t="s">
        <v>145</v>
      </c>
      <c r="C18" s="4" t="s">
        <v>16</v>
      </c>
      <c r="D18" s="4" t="s">
        <v>146</v>
      </c>
      <c r="E18" s="4" t="s">
        <v>18</v>
      </c>
      <c r="F18" s="4" t="s">
        <v>19</v>
      </c>
      <c r="G18" s="4"/>
      <c r="H18" s="4"/>
      <c r="I18" s="4"/>
    </row>
    <row r="19" spans="2:9" ht="76.5" thickTop="1" thickBot="1">
      <c r="B19" s="8" t="s">
        <v>47</v>
      </c>
      <c r="C19" s="8" t="s">
        <v>48</v>
      </c>
      <c r="D19" s="8" t="s">
        <v>49</v>
      </c>
      <c r="E19" s="8" t="s">
        <v>18</v>
      </c>
      <c r="F19" s="8" t="s">
        <v>44</v>
      </c>
      <c r="G19" s="8"/>
      <c r="H19" s="8" t="s">
        <v>50</v>
      </c>
      <c r="I19" s="8"/>
    </row>
    <row r="20" spans="2:9" ht="61.5" thickTop="1" thickBot="1">
      <c r="B20" s="4" t="s">
        <v>51</v>
      </c>
      <c r="C20" s="4" t="s">
        <v>52</v>
      </c>
      <c r="D20" s="4" t="s">
        <v>53</v>
      </c>
      <c r="E20" s="13" t="str">
        <f>+DOMINIOS!$C$47</f>
        <v>Ext_Direccion</v>
      </c>
      <c r="F20" s="4" t="s">
        <v>19</v>
      </c>
      <c r="G20" s="4" t="s">
        <v>24</v>
      </c>
      <c r="H20" s="4" t="s">
        <v>25</v>
      </c>
      <c r="I20" s="4"/>
    </row>
    <row r="21" spans="2:9" ht="31.5" thickTop="1" thickBot="1">
      <c r="B21" s="6" t="s">
        <v>54</v>
      </c>
      <c r="C21" s="6" t="s">
        <v>48</v>
      </c>
      <c r="D21" s="6" t="s">
        <v>128</v>
      </c>
      <c r="E21" s="6" t="s">
        <v>18</v>
      </c>
      <c r="F21" s="6" t="s">
        <v>23</v>
      </c>
      <c r="G21" s="6"/>
      <c r="H21" s="6"/>
      <c r="I21" s="20" t="s">
        <v>56</v>
      </c>
    </row>
    <row r="22" spans="2:9" ht="46.5" thickTop="1" thickBot="1">
      <c r="B22" s="6" t="s">
        <v>129</v>
      </c>
      <c r="C22" s="6" t="s">
        <v>48</v>
      </c>
      <c r="D22" s="6" t="s">
        <v>60</v>
      </c>
      <c r="E22" s="6" t="s">
        <v>18</v>
      </c>
      <c r="F22" s="6" t="s">
        <v>23</v>
      </c>
      <c r="G22" s="6" t="s">
        <v>24</v>
      </c>
      <c r="H22" s="6" t="s">
        <v>37</v>
      </c>
      <c r="I22" s="20" t="s">
        <v>61</v>
      </c>
    </row>
    <row r="23" spans="2:9" ht="31.5" thickTop="1" thickBot="1">
      <c r="B23" s="6" t="s">
        <v>62</v>
      </c>
      <c r="C23" s="6" t="s">
        <v>48</v>
      </c>
      <c r="D23" s="6" t="s">
        <v>63</v>
      </c>
      <c r="E23" s="6" t="s">
        <v>18</v>
      </c>
      <c r="F23" s="6" t="s">
        <v>23</v>
      </c>
      <c r="G23" s="6"/>
      <c r="H23" s="6"/>
      <c r="I23" s="20" t="s">
        <v>61</v>
      </c>
    </row>
    <row r="24" spans="2:9" ht="46.5" thickTop="1" thickBot="1">
      <c r="B24" s="6" t="s">
        <v>147</v>
      </c>
      <c r="C24" s="6" t="s">
        <v>48</v>
      </c>
      <c r="D24" s="6" t="s">
        <v>65</v>
      </c>
      <c r="E24" s="6" t="s">
        <v>18</v>
      </c>
      <c r="F24" s="6" t="s">
        <v>23</v>
      </c>
      <c r="G24" s="6" t="s">
        <v>24</v>
      </c>
      <c r="H24" s="6" t="s">
        <v>37</v>
      </c>
      <c r="I24" s="20" t="s">
        <v>61</v>
      </c>
    </row>
    <row r="25" spans="2:9" ht="46.5" thickTop="1" thickBot="1">
      <c r="B25" s="8" t="s">
        <v>66</v>
      </c>
      <c r="C25" s="8" t="s">
        <v>48</v>
      </c>
      <c r="D25" s="8" t="s">
        <v>67</v>
      </c>
      <c r="E25" s="8" t="s">
        <v>18</v>
      </c>
      <c r="F25" s="8" t="s">
        <v>44</v>
      </c>
      <c r="G25" s="8" t="s">
        <v>68</v>
      </c>
      <c r="H25" s="8" t="s">
        <v>69</v>
      </c>
      <c r="I25" s="8"/>
    </row>
    <row r="26" spans="2:9" ht="16.5" thickTop="1" thickBot="1">
      <c r="B26" s="4" t="s">
        <v>148</v>
      </c>
      <c r="C26" s="4" t="s">
        <v>48</v>
      </c>
      <c r="D26" s="4" t="s">
        <v>149</v>
      </c>
      <c r="E26" s="4" t="s">
        <v>18</v>
      </c>
      <c r="F26" s="4" t="s">
        <v>19</v>
      </c>
      <c r="G26" s="4"/>
      <c r="H26" s="4"/>
      <c r="I26" s="4"/>
    </row>
    <row r="27" spans="2:9" ht="16.5" thickTop="1" thickBot="1">
      <c r="B27" s="4" t="s">
        <v>150</v>
      </c>
      <c r="C27" s="4" t="s">
        <v>48</v>
      </c>
      <c r="D27" s="4" t="s">
        <v>133</v>
      </c>
      <c r="E27" s="4" t="s">
        <v>18</v>
      </c>
      <c r="F27" s="4" t="s">
        <v>19</v>
      </c>
      <c r="G27" s="4"/>
      <c r="H27" s="4"/>
      <c r="I27" s="4"/>
    </row>
    <row r="28" spans="2:9" ht="31.5" thickTop="1" thickBot="1">
      <c r="B28" s="4" t="s">
        <v>151</v>
      </c>
      <c r="C28" s="4" t="s">
        <v>48</v>
      </c>
      <c r="D28" s="4" t="s">
        <v>152</v>
      </c>
      <c r="E28" s="4" t="s">
        <v>18</v>
      </c>
      <c r="F28" s="4" t="s">
        <v>19</v>
      </c>
      <c r="G28" s="4"/>
      <c r="H28" s="4"/>
      <c r="I28" s="4"/>
    </row>
    <row r="29" spans="2:9" ht="16.5" thickTop="1" thickBot="1">
      <c r="B29" s="4" t="s">
        <v>153</v>
      </c>
      <c r="C29" s="4" t="s">
        <v>48</v>
      </c>
      <c r="D29" s="4" t="s">
        <v>154</v>
      </c>
      <c r="E29" s="4" t="s">
        <v>18</v>
      </c>
      <c r="F29" s="4" t="s">
        <v>19</v>
      </c>
      <c r="G29" s="4"/>
      <c r="H29" s="4"/>
      <c r="I29" s="4"/>
    </row>
    <row r="30" spans="2:9" ht="30">
      <c r="B30" s="4" t="s">
        <v>89</v>
      </c>
      <c r="C30" s="4" t="s">
        <v>16</v>
      </c>
      <c r="D30" s="4" t="s">
        <v>90</v>
      </c>
      <c r="E30" s="4" t="s">
        <v>18</v>
      </c>
      <c r="F30" s="4" t="s">
        <v>19</v>
      </c>
      <c r="G30" s="4"/>
      <c r="H30" s="4"/>
      <c r="I30" s="4" t="s">
        <v>91</v>
      </c>
    </row>
    <row r="31" spans="2:9" ht="16.5" thickTop="1" thickBot="1">
      <c r="B31" s="4" t="s">
        <v>92</v>
      </c>
      <c r="C31" s="4" t="s">
        <v>48</v>
      </c>
      <c r="D31" s="4" t="s">
        <v>93</v>
      </c>
      <c r="E31" s="4" t="s">
        <v>18</v>
      </c>
      <c r="F31" s="4" t="s">
        <v>19</v>
      </c>
      <c r="G31" s="4"/>
      <c r="H31" s="4"/>
      <c r="I31" s="4"/>
    </row>
    <row r="32" spans="2:9" ht="16.5" thickTop="1" thickBot="1">
      <c r="B32" s="4" t="s">
        <v>94</v>
      </c>
      <c r="C32" s="4" t="s">
        <v>48</v>
      </c>
      <c r="D32" s="4" t="s">
        <v>95</v>
      </c>
      <c r="E32" s="4" t="s">
        <v>18</v>
      </c>
      <c r="F32" s="4" t="s">
        <v>19</v>
      </c>
      <c r="G32" s="4"/>
      <c r="H32" s="4"/>
      <c r="I32" s="4"/>
    </row>
    <row r="33" spans="2:9" ht="46.5" thickTop="1" thickBot="1">
      <c r="B33" s="4" t="s">
        <v>96</v>
      </c>
      <c r="C33" s="4" t="s">
        <v>35</v>
      </c>
      <c r="D33" s="4" t="s">
        <v>97</v>
      </c>
      <c r="E33" s="13" t="str">
        <f>+DOMINIOS!$C$91</f>
        <v>Dom_EstadoConservacionTipo</v>
      </c>
      <c r="F33" s="4" t="s">
        <v>19</v>
      </c>
      <c r="G33" s="4" t="s">
        <v>68</v>
      </c>
      <c r="H33" s="4" t="s">
        <v>98</v>
      </c>
      <c r="I33" s="4"/>
    </row>
    <row r="34" spans="2:9" ht="46.5" thickTop="1" thickBot="1">
      <c r="B34" s="4" t="s">
        <v>99</v>
      </c>
      <c r="C34" s="4" t="s">
        <v>100</v>
      </c>
      <c r="D34" s="4" t="s">
        <v>101</v>
      </c>
      <c r="E34" s="4" t="s">
        <v>18</v>
      </c>
      <c r="F34" s="4" t="s">
        <v>19</v>
      </c>
      <c r="G34" s="4" t="s">
        <v>24</v>
      </c>
      <c r="H34" s="4" t="s">
        <v>37</v>
      </c>
      <c r="I34" s="4"/>
    </row>
    <row r="35" spans="2:9" ht="46.5" thickTop="1" thickBot="1">
      <c r="B35" s="4" t="s">
        <v>102</v>
      </c>
      <c r="C35" s="4" t="s">
        <v>48</v>
      </c>
      <c r="D35" s="4" t="s">
        <v>103</v>
      </c>
      <c r="E35" s="4" t="s">
        <v>18</v>
      </c>
      <c r="F35" s="4" t="s">
        <v>19</v>
      </c>
      <c r="G35" s="4" t="s">
        <v>24</v>
      </c>
      <c r="H35" s="4" t="s">
        <v>37</v>
      </c>
      <c r="I35" s="4"/>
    </row>
    <row r="36" spans="2:9" ht="46.5" thickTop="1" thickBot="1">
      <c r="B36" s="5" t="s">
        <v>104</v>
      </c>
      <c r="C36" s="4" t="s">
        <v>16</v>
      </c>
      <c r="D36" s="4" t="s">
        <v>105</v>
      </c>
      <c r="E36" s="4" t="s">
        <v>18</v>
      </c>
      <c r="F36" s="4" t="s">
        <v>19</v>
      </c>
      <c r="G36" s="4" t="s">
        <v>24</v>
      </c>
      <c r="H36" s="4" t="s">
        <v>37</v>
      </c>
      <c r="I36" s="4"/>
    </row>
    <row r="37" spans="2:9" ht="61.5" thickTop="1" thickBot="1">
      <c r="B37" s="4" t="s">
        <v>106</v>
      </c>
      <c r="C37" s="4" t="s">
        <v>16</v>
      </c>
      <c r="D37" s="4" t="s">
        <v>107</v>
      </c>
      <c r="E37" s="4" t="s">
        <v>18</v>
      </c>
      <c r="F37" s="4" t="s">
        <v>19</v>
      </c>
      <c r="G37" s="4" t="s">
        <v>24</v>
      </c>
      <c r="H37" s="4" t="s">
        <v>37</v>
      </c>
      <c r="I37" s="4"/>
    </row>
    <row r="38" spans="2:9" ht="31.5" thickTop="1" thickBot="1">
      <c r="B38" s="8" t="s">
        <v>111</v>
      </c>
      <c r="C38" s="8" t="s">
        <v>48</v>
      </c>
      <c r="D38" s="8" t="s">
        <v>112</v>
      </c>
      <c r="E38" s="8" t="s">
        <v>18</v>
      </c>
      <c r="F38" s="8" t="s">
        <v>44</v>
      </c>
      <c r="G38" s="8" t="s">
        <v>24</v>
      </c>
      <c r="H38" s="8" t="s">
        <v>25</v>
      </c>
      <c r="I38" s="8"/>
    </row>
    <row r="39" spans="2:9" ht="76.5" thickTop="1" thickBot="1">
      <c r="B39" s="4" t="s">
        <v>113</v>
      </c>
      <c r="C39" s="4" t="s">
        <v>35</v>
      </c>
      <c r="D39" s="4" t="s">
        <v>114</v>
      </c>
      <c r="E39" s="13" t="str">
        <f>+DOMINIOS!$C$16</f>
        <v>Dom_Destinacion_Economica</v>
      </c>
      <c r="F39" s="4" t="s">
        <v>19</v>
      </c>
      <c r="G39" s="4" t="s">
        <v>24</v>
      </c>
      <c r="H39" s="4" t="s">
        <v>115</v>
      </c>
      <c r="I39" s="4"/>
    </row>
    <row r="40" spans="2:9" ht="31.5" thickTop="1" thickBot="1">
      <c r="B40" s="8" t="s">
        <v>116</v>
      </c>
      <c r="C40" s="8" t="s">
        <v>35</v>
      </c>
      <c r="D40" s="8" t="s">
        <v>117</v>
      </c>
      <c r="E40" s="14" t="str">
        <f>+DOMINIOS!$C$3</f>
        <v>Dom_Derecho_Tipo</v>
      </c>
      <c r="F40" s="8" t="s">
        <v>44</v>
      </c>
      <c r="G40" s="8" t="s">
        <v>118</v>
      </c>
      <c r="H40" s="8" t="s">
        <v>119</v>
      </c>
      <c r="I40" s="8"/>
    </row>
    <row r="41" spans="2:9" ht="61.5" thickTop="1" thickBot="1">
      <c r="B41" s="8" t="s">
        <v>120</v>
      </c>
      <c r="C41" s="8" t="s">
        <v>35</v>
      </c>
      <c r="D41" s="8" t="s">
        <v>138</v>
      </c>
      <c r="E41" s="14" t="str">
        <f>+DOMINIOS!$C$62</f>
        <v>Dom_TipologiaTipo</v>
      </c>
      <c r="F41" s="8" t="s">
        <v>44</v>
      </c>
      <c r="G41" s="8" t="s">
        <v>68</v>
      </c>
      <c r="H41" s="8" t="s">
        <v>122</v>
      </c>
      <c r="I41" s="8"/>
    </row>
    <row r="42" spans="2:9" ht="31.5" thickTop="1" thickBot="1">
      <c r="B42" s="8" t="s">
        <v>155</v>
      </c>
      <c r="C42" s="8" t="s">
        <v>16</v>
      </c>
      <c r="D42" s="8" t="s">
        <v>156</v>
      </c>
      <c r="E42" s="8" t="s">
        <v>18</v>
      </c>
      <c r="F42" s="8" t="s">
        <v>44</v>
      </c>
      <c r="G42" s="8"/>
      <c r="H42" s="8"/>
      <c r="I42" s="8"/>
    </row>
    <row r="43" spans="2:9" ht="46.5" thickTop="1" thickBot="1">
      <c r="B43" s="8" t="s">
        <v>157</v>
      </c>
      <c r="C43" s="8" t="s">
        <v>16</v>
      </c>
      <c r="D43" s="8" t="s">
        <v>158</v>
      </c>
      <c r="E43" s="8" t="s">
        <v>18</v>
      </c>
      <c r="F43" s="8" t="s">
        <v>44</v>
      </c>
      <c r="G43" s="8"/>
      <c r="H43" s="8"/>
      <c r="I43" s="8"/>
    </row>
    <row r="44" spans="2:9" ht="15.75" thickTop="1"/>
  </sheetData>
  <mergeCells count="7">
    <mergeCell ref="B2:H2"/>
    <mergeCell ref="B4:B5"/>
    <mergeCell ref="I10:I13"/>
    <mergeCell ref="C4:I4"/>
    <mergeCell ref="C5:I5"/>
    <mergeCell ref="C6:I6"/>
    <mergeCell ref="C7:I7"/>
  </mergeCells>
  <hyperlinks>
    <hyperlink ref="E14" location="DOMINIOS!C10" display="DOMINIOS!C10" xr:uid="{00000000-0004-0000-0200-000000000000}"/>
    <hyperlink ref="E33" location="DOMINIOS!C77" display="DOMINIOS!C77" xr:uid="{00000000-0004-0000-0200-000001000000}"/>
    <hyperlink ref="E39" location="DOMINIOS!C16" display="DOMINIOS!C16" xr:uid="{00000000-0004-0000-0200-000002000000}"/>
    <hyperlink ref="E40" location="DOMINIOS!C3" display="DOMINIOS!C3" xr:uid="{00000000-0004-0000-0200-000003000000}"/>
    <hyperlink ref="E41" location="DOMINIOS!C48" display="DOMINIOS!C48" xr:uid="{00000000-0004-0000-0200-000004000000}"/>
    <hyperlink ref="E10" location="NUMERO_PREDIAL_ANTIGUO!A1" display="Numero_Predial_Antiguo" xr:uid="{00000000-0004-0000-0200-000005000000}"/>
    <hyperlink ref="E11" location="NUMERO_PREDIAL_NUEVO!A1" display="Numero_Predial_Nuevo" xr:uid="{00000000-0004-0000-0200-000006000000}"/>
    <hyperlink ref="E20" location="DOMINIOS!C33" display="DOMINIOS!C33" xr:uid="{00000000-0004-0000-0200-000007000000}"/>
  </hyperlinks>
  <pageMargins left="0.7" right="0.7" top="0.75" bottom="0.75" header="0.3" footer="0.3"/>
  <pageSetup orientation="portrait" horizontalDpi="4294967292"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157"/>
  <sheetViews>
    <sheetView topLeftCell="A89" workbookViewId="0">
      <selection activeCell="D89" sqref="D89"/>
    </sheetView>
  </sheetViews>
  <sheetFormatPr defaultColWidth="11.42578125" defaultRowHeight="15"/>
  <cols>
    <col min="2" max="2" width="10.7109375" customWidth="1"/>
    <col min="3" max="3" width="32.140625" customWidth="1"/>
    <col min="4" max="4" width="74.140625" customWidth="1"/>
    <col min="5" max="5" width="11.85546875" customWidth="1"/>
  </cols>
  <sheetData>
    <row r="2" spans="2:4" ht="15.75" thickBot="1"/>
    <row r="3" spans="2:4" ht="16.5" thickTop="1" thickBot="1">
      <c r="B3" s="1" t="s">
        <v>159</v>
      </c>
      <c r="C3" s="34" t="s">
        <v>160</v>
      </c>
      <c r="D3" s="35"/>
    </row>
    <row r="4" spans="2:4" ht="16.5" thickTop="1" thickBot="1">
      <c r="B4" s="2" t="s">
        <v>161</v>
      </c>
      <c r="C4" s="2" t="s">
        <v>162</v>
      </c>
      <c r="D4" s="2" t="s">
        <v>9</v>
      </c>
    </row>
    <row r="5" spans="2:4" ht="45">
      <c r="B5" s="3">
        <v>0</v>
      </c>
      <c r="C5" s="3" t="s">
        <v>163</v>
      </c>
      <c r="D5" s="3" t="s">
        <v>164</v>
      </c>
    </row>
    <row r="6" spans="2:4" ht="46.5" thickTop="1" thickBot="1">
      <c r="B6" s="3">
        <v>1</v>
      </c>
      <c r="C6" s="3" t="s">
        <v>165</v>
      </c>
      <c r="D6" s="3" t="s">
        <v>166</v>
      </c>
    </row>
    <row r="7" spans="2:4" ht="46.5" thickTop="1" thickBot="1">
      <c r="B7" s="3">
        <v>2</v>
      </c>
      <c r="C7" s="3" t="s">
        <v>167</v>
      </c>
      <c r="D7" s="3" t="s">
        <v>168</v>
      </c>
    </row>
    <row r="8" spans="2:4" ht="15.75" thickTop="1"/>
    <row r="9" spans="2:4" ht="15.75" thickBot="1"/>
    <row r="10" spans="2:4" ht="16.5" thickTop="1" thickBot="1">
      <c r="B10" s="1" t="s">
        <v>159</v>
      </c>
      <c r="C10" s="34" t="s">
        <v>169</v>
      </c>
      <c r="D10" s="35"/>
    </row>
    <row r="11" spans="2:4" ht="16.5" thickTop="1" thickBot="1">
      <c r="B11" s="2" t="s">
        <v>161</v>
      </c>
      <c r="C11" s="2" t="s">
        <v>162</v>
      </c>
      <c r="D11" s="2" t="s">
        <v>9</v>
      </c>
    </row>
    <row r="12" spans="2:4" ht="16.5" thickTop="1" thickBot="1">
      <c r="B12" s="3">
        <v>0</v>
      </c>
      <c r="C12" s="3" t="s">
        <v>170</v>
      </c>
      <c r="D12" s="3" t="s">
        <v>171</v>
      </c>
    </row>
    <row r="13" spans="2:4" ht="15.75" thickBot="1">
      <c r="B13" s="3">
        <v>1</v>
      </c>
      <c r="C13" s="3" t="s">
        <v>172</v>
      </c>
      <c r="D13" s="3" t="s">
        <v>173</v>
      </c>
    </row>
    <row r="14" spans="2:4" ht="15.75" thickTop="1"/>
    <row r="15" spans="2:4" ht="15.75" thickBot="1"/>
    <row r="16" spans="2:4" ht="16.5" thickTop="1" thickBot="1">
      <c r="B16" s="1" t="s">
        <v>159</v>
      </c>
      <c r="C16" s="34" t="s">
        <v>174</v>
      </c>
      <c r="D16" s="35"/>
    </row>
    <row r="17" spans="2:4" ht="16.5" thickTop="1" thickBot="1">
      <c r="B17" s="2" t="s">
        <v>161</v>
      </c>
      <c r="C17" s="2" t="s">
        <v>162</v>
      </c>
      <c r="D17" s="2" t="s">
        <v>9</v>
      </c>
    </row>
    <row r="18" spans="2:4" ht="94.5" customHeight="1" thickTop="1" thickBot="1">
      <c r="B18" s="3">
        <v>0</v>
      </c>
      <c r="C18" s="3" t="s">
        <v>175</v>
      </c>
      <c r="D18" s="3" t="s">
        <v>176</v>
      </c>
    </row>
    <row r="19" spans="2:4" ht="54" customHeight="1" thickTop="1" thickBot="1">
      <c r="B19" s="3">
        <v>1</v>
      </c>
      <c r="C19" s="3" t="s">
        <v>177</v>
      </c>
      <c r="D19" s="3" t="s">
        <v>178</v>
      </c>
    </row>
    <row r="20" spans="2:4" ht="60.75" customHeight="1" thickTop="1" thickBot="1">
      <c r="B20" s="3">
        <v>2</v>
      </c>
      <c r="C20" s="3" t="s">
        <v>179</v>
      </c>
      <c r="D20" s="3" t="s">
        <v>180</v>
      </c>
    </row>
    <row r="21" spans="2:4" ht="45.75" customHeight="1" thickTop="1" thickBot="1">
      <c r="B21" s="3">
        <v>3</v>
      </c>
      <c r="C21" s="3" t="s">
        <v>181</v>
      </c>
      <c r="D21" s="3" t="s">
        <v>182</v>
      </c>
    </row>
    <row r="22" spans="2:4" ht="51.75" customHeight="1" thickTop="1" thickBot="1">
      <c r="B22" s="3">
        <v>4</v>
      </c>
      <c r="C22" s="3" t="s">
        <v>183</v>
      </c>
      <c r="D22" s="3" t="s">
        <v>184</v>
      </c>
    </row>
    <row r="23" spans="2:4" ht="46.5" thickTop="1" thickBot="1">
      <c r="B23" s="3">
        <v>5</v>
      </c>
      <c r="C23" s="3" t="s">
        <v>185</v>
      </c>
      <c r="D23" s="3" t="s">
        <v>186</v>
      </c>
    </row>
    <row r="24" spans="2:4" ht="46.5" thickTop="1" thickBot="1">
      <c r="B24" s="3">
        <v>6</v>
      </c>
      <c r="C24" s="3" t="s">
        <v>187</v>
      </c>
      <c r="D24" s="3" t="s">
        <v>188</v>
      </c>
    </row>
    <row r="25" spans="2:4" ht="58.5" customHeight="1" thickTop="1" thickBot="1">
      <c r="B25" s="3">
        <v>7</v>
      </c>
      <c r="C25" s="3" t="s">
        <v>189</v>
      </c>
      <c r="D25" s="3" t="s">
        <v>190</v>
      </c>
    </row>
    <row r="26" spans="2:4" ht="86.25" customHeight="1" thickTop="1" thickBot="1">
      <c r="B26" s="3">
        <v>8</v>
      </c>
      <c r="C26" s="3" t="s">
        <v>191</v>
      </c>
      <c r="D26" s="3" t="s">
        <v>192</v>
      </c>
    </row>
    <row r="27" spans="2:4" ht="61.5" thickTop="1" thickBot="1">
      <c r="B27" s="3">
        <v>9</v>
      </c>
      <c r="C27" s="3" t="s">
        <v>193</v>
      </c>
      <c r="D27" s="3" t="s">
        <v>194</v>
      </c>
    </row>
    <row r="28" spans="2:4" ht="76.5" thickTop="1" thickBot="1">
      <c r="B28" s="3">
        <v>10</v>
      </c>
      <c r="C28" s="3" t="s">
        <v>195</v>
      </c>
      <c r="D28" s="3" t="s">
        <v>196</v>
      </c>
    </row>
    <row r="29" spans="2:4" ht="76.5" thickTop="1" thickBot="1">
      <c r="B29" s="3">
        <v>11</v>
      </c>
      <c r="C29" s="3" t="s">
        <v>197</v>
      </c>
      <c r="D29" s="3" t="s">
        <v>198</v>
      </c>
    </row>
    <row r="30" spans="2:4" ht="76.5" thickTop="1" thickBot="1">
      <c r="B30" s="3">
        <v>12</v>
      </c>
      <c r="C30" s="3" t="s">
        <v>199</v>
      </c>
      <c r="D30" s="3" t="s">
        <v>200</v>
      </c>
    </row>
    <row r="31" spans="2:4" ht="61.5" thickTop="1" thickBot="1">
      <c r="B31" s="3">
        <v>13</v>
      </c>
      <c r="C31" s="3" t="s">
        <v>201</v>
      </c>
      <c r="D31" s="3" t="s">
        <v>202</v>
      </c>
    </row>
    <row r="32" spans="2:4" ht="46.5" thickTop="1" thickBot="1">
      <c r="B32" s="3">
        <v>14</v>
      </c>
      <c r="C32" s="3" t="s">
        <v>203</v>
      </c>
      <c r="D32" s="3" t="s">
        <v>204</v>
      </c>
    </row>
    <row r="33" spans="2:4" ht="91.5" thickTop="1" thickBot="1">
      <c r="B33" s="3">
        <v>15</v>
      </c>
      <c r="C33" s="3" t="s">
        <v>205</v>
      </c>
      <c r="D33" s="3" t="s">
        <v>206</v>
      </c>
    </row>
    <row r="34" spans="2:4" ht="31.5" thickTop="1" thickBot="1">
      <c r="B34" s="3">
        <v>16</v>
      </c>
      <c r="C34" s="3" t="s">
        <v>207</v>
      </c>
      <c r="D34" s="3" t="s">
        <v>208</v>
      </c>
    </row>
    <row r="35" spans="2:4" ht="46.5" thickTop="1" thickBot="1">
      <c r="B35" s="3">
        <v>17</v>
      </c>
      <c r="C35" s="3" t="s">
        <v>209</v>
      </c>
      <c r="D35" s="3" t="s">
        <v>210</v>
      </c>
    </row>
    <row r="36" spans="2:4" ht="46.5" thickTop="1" thickBot="1">
      <c r="B36" s="3">
        <v>18</v>
      </c>
      <c r="C36" s="3" t="s">
        <v>211</v>
      </c>
      <c r="D36" s="3" t="s">
        <v>212</v>
      </c>
    </row>
    <row r="37" spans="2:4" ht="46.5" thickTop="1" thickBot="1">
      <c r="B37" s="3">
        <v>19</v>
      </c>
      <c r="C37" s="3" t="s">
        <v>213</v>
      </c>
      <c r="D37" s="3" t="s">
        <v>214</v>
      </c>
    </row>
    <row r="38" spans="2:4" ht="61.5" thickTop="1" thickBot="1">
      <c r="B38" s="3">
        <v>20</v>
      </c>
      <c r="C38" s="3" t="s">
        <v>215</v>
      </c>
      <c r="D38" s="3" t="s">
        <v>216</v>
      </c>
    </row>
    <row r="39" spans="2:4" ht="61.5" thickTop="1" thickBot="1">
      <c r="B39" s="3">
        <v>21</v>
      </c>
      <c r="C39" s="3" t="s">
        <v>217</v>
      </c>
      <c r="D39" s="3" t="s">
        <v>218</v>
      </c>
    </row>
    <row r="40" spans="2:4" ht="46.5" thickTop="1" thickBot="1">
      <c r="B40" s="3">
        <v>22</v>
      </c>
      <c r="C40" s="3" t="s">
        <v>219</v>
      </c>
      <c r="D40" s="3" t="s">
        <v>220</v>
      </c>
    </row>
    <row r="41" spans="2:4" ht="46.5" thickTop="1" thickBot="1">
      <c r="B41" s="3">
        <v>23</v>
      </c>
      <c r="C41" s="3" t="s">
        <v>221</v>
      </c>
      <c r="D41" s="3" t="s">
        <v>222</v>
      </c>
    </row>
    <row r="42" spans="2:4" ht="46.5" thickTop="1" thickBot="1">
      <c r="B42" s="3">
        <v>24</v>
      </c>
      <c r="C42" s="3" t="s">
        <v>223</v>
      </c>
      <c r="D42" s="3" t="s">
        <v>224</v>
      </c>
    </row>
    <row r="43" spans="2:4" ht="61.5" thickTop="1" thickBot="1">
      <c r="B43" s="3">
        <v>25</v>
      </c>
      <c r="C43" s="3" t="s">
        <v>225</v>
      </c>
      <c r="D43" s="3" t="s">
        <v>226</v>
      </c>
    </row>
    <row r="44" spans="2:4" ht="61.5" thickTop="1" thickBot="1">
      <c r="B44" s="3">
        <v>26</v>
      </c>
      <c r="C44" s="3" t="s">
        <v>227</v>
      </c>
      <c r="D44" s="3" t="s">
        <v>228</v>
      </c>
    </row>
    <row r="45" spans="2:4" ht="15.75" thickTop="1"/>
    <row r="46" spans="2:4" ht="15.75" thickBot="1"/>
    <row r="47" spans="2:4" ht="16.5" thickTop="1" thickBot="1">
      <c r="B47" s="1" t="s">
        <v>159</v>
      </c>
      <c r="C47" s="34" t="s">
        <v>229</v>
      </c>
      <c r="D47" s="35"/>
    </row>
    <row r="48" spans="2:4" ht="16.5" thickTop="1" thickBot="1">
      <c r="B48" s="2" t="s">
        <v>161</v>
      </c>
      <c r="C48" s="2" t="s">
        <v>162</v>
      </c>
      <c r="D48" s="2" t="s">
        <v>9</v>
      </c>
    </row>
    <row r="49" spans="2:4" ht="16.5" thickTop="1" thickBot="1">
      <c r="B49" s="36"/>
      <c r="C49" s="3" t="s">
        <v>230</v>
      </c>
      <c r="D49" s="3" t="s">
        <v>231</v>
      </c>
    </row>
    <row r="50" spans="2:4" ht="151.5" thickTop="1" thickBot="1">
      <c r="B50" s="37"/>
      <c r="C50" s="3" t="s">
        <v>232</v>
      </c>
      <c r="D50" s="3" t="s">
        <v>233</v>
      </c>
    </row>
    <row r="51" spans="2:4" ht="16.5" thickTop="1" thickBot="1">
      <c r="B51" s="37"/>
      <c r="C51" s="3" t="s">
        <v>234</v>
      </c>
      <c r="D51" s="3" t="s">
        <v>235</v>
      </c>
    </row>
    <row r="52" spans="2:4" ht="16.5" thickTop="1" thickBot="1">
      <c r="B52" s="37"/>
      <c r="C52" s="3" t="s">
        <v>236</v>
      </c>
      <c r="D52" s="3" t="s">
        <v>237</v>
      </c>
    </row>
    <row r="53" spans="2:4" ht="16.5" thickTop="1" thickBot="1">
      <c r="B53" s="37"/>
      <c r="C53" s="3" t="s">
        <v>238</v>
      </c>
      <c r="D53" s="3" t="s">
        <v>239</v>
      </c>
    </row>
    <row r="54" spans="2:4" ht="16.5" thickTop="1" thickBot="1">
      <c r="B54" s="37"/>
      <c r="C54" s="3" t="s">
        <v>240</v>
      </c>
      <c r="D54" s="3" t="s">
        <v>241</v>
      </c>
    </row>
    <row r="55" spans="2:4" ht="16.5" thickTop="1" thickBot="1">
      <c r="B55" s="37"/>
      <c r="C55" s="3" t="s">
        <v>242</v>
      </c>
      <c r="D55" s="3" t="s">
        <v>243</v>
      </c>
    </row>
    <row r="56" spans="2:4" ht="16.5" thickTop="1" thickBot="1">
      <c r="B56" s="37"/>
      <c r="C56" s="3" t="s">
        <v>244</v>
      </c>
      <c r="D56" s="3" t="s">
        <v>245</v>
      </c>
    </row>
    <row r="57" spans="2:4" ht="16.5" thickTop="1" thickBot="1">
      <c r="B57" s="37"/>
      <c r="C57" s="3" t="s">
        <v>246</v>
      </c>
      <c r="D57" s="3" t="s">
        <v>247</v>
      </c>
    </row>
    <row r="58" spans="2:4" ht="16.5" thickTop="1" thickBot="1">
      <c r="B58" s="37"/>
      <c r="C58" s="3" t="s">
        <v>248</v>
      </c>
      <c r="D58" s="3" t="s">
        <v>249</v>
      </c>
    </row>
    <row r="59" spans="2:4" ht="31.5" thickTop="1" thickBot="1">
      <c r="B59" s="38"/>
      <c r="C59" s="3" t="s">
        <v>250</v>
      </c>
      <c r="D59" s="3" t="s">
        <v>251</v>
      </c>
    </row>
    <row r="60" spans="2:4" ht="15.75" thickTop="1"/>
    <row r="61" spans="2:4" ht="15.75" thickBot="1"/>
    <row r="62" spans="2:4" ht="15.75" thickBot="1">
      <c r="B62" s="1" t="s">
        <v>159</v>
      </c>
      <c r="C62" s="34" t="s">
        <v>252</v>
      </c>
      <c r="D62" s="35"/>
    </row>
    <row r="63" spans="2:4" ht="16.5" thickTop="1" thickBot="1">
      <c r="B63" s="2" t="s">
        <v>161</v>
      </c>
      <c r="C63" s="2" t="s">
        <v>162</v>
      </c>
      <c r="D63" s="2" t="s">
        <v>9</v>
      </c>
    </row>
    <row r="64" spans="2:4" ht="31.5" thickTop="1" thickBot="1">
      <c r="B64" s="3">
        <v>0</v>
      </c>
      <c r="C64" s="3" t="s">
        <v>253</v>
      </c>
      <c r="D64" s="3" t="s">
        <v>254</v>
      </c>
    </row>
    <row r="65" spans="2:4" ht="31.5" thickTop="1" thickBot="1">
      <c r="B65" s="3">
        <v>1</v>
      </c>
      <c r="C65" s="3" t="s">
        <v>255</v>
      </c>
      <c r="D65" s="3" t="s">
        <v>256</v>
      </c>
    </row>
    <row r="66" spans="2:4" ht="46.5" thickTop="1" thickBot="1">
      <c r="B66" s="3">
        <v>2</v>
      </c>
      <c r="C66" s="3" t="s">
        <v>257</v>
      </c>
      <c r="D66" s="3" t="s">
        <v>258</v>
      </c>
    </row>
    <row r="67" spans="2:4" ht="46.5" thickTop="1" thickBot="1">
      <c r="B67" s="3">
        <v>3</v>
      </c>
      <c r="C67" s="3" t="s">
        <v>259</v>
      </c>
      <c r="D67" s="3" t="s">
        <v>260</v>
      </c>
    </row>
    <row r="68" spans="2:4" ht="46.5" thickTop="1" thickBot="1">
      <c r="B68" s="3">
        <v>4</v>
      </c>
      <c r="C68" s="3" t="s">
        <v>261</v>
      </c>
      <c r="D68" s="3" t="s">
        <v>262</v>
      </c>
    </row>
    <row r="69" spans="2:4" ht="46.5" thickTop="1" thickBot="1">
      <c r="B69" s="3">
        <v>5</v>
      </c>
      <c r="C69" s="3" t="s">
        <v>263</v>
      </c>
      <c r="D69" s="3" t="s">
        <v>264</v>
      </c>
    </row>
    <row r="70" spans="2:4" ht="46.5" thickTop="1" thickBot="1">
      <c r="B70" s="3">
        <v>6</v>
      </c>
      <c r="C70" s="3" t="s">
        <v>265</v>
      </c>
      <c r="D70" s="3" t="s">
        <v>266</v>
      </c>
    </row>
    <row r="71" spans="2:4" ht="46.5" thickTop="1" thickBot="1">
      <c r="B71" s="3">
        <v>7</v>
      </c>
      <c r="C71" s="3" t="s">
        <v>267</v>
      </c>
      <c r="D71" s="3" t="s">
        <v>268</v>
      </c>
    </row>
    <row r="72" spans="2:4" ht="46.5" thickTop="1" thickBot="1">
      <c r="B72" s="3">
        <v>8</v>
      </c>
      <c r="C72" s="3" t="s">
        <v>269</v>
      </c>
      <c r="D72" s="3" t="s">
        <v>270</v>
      </c>
    </row>
    <row r="73" spans="2:4" ht="46.5" thickTop="1" thickBot="1">
      <c r="B73" s="3">
        <v>9</v>
      </c>
      <c r="C73" s="3" t="s">
        <v>271</v>
      </c>
      <c r="D73" s="3" t="s">
        <v>272</v>
      </c>
    </row>
    <row r="74" spans="2:4" ht="46.5" thickTop="1" thickBot="1">
      <c r="B74" s="3">
        <v>10</v>
      </c>
      <c r="C74" s="3" t="s">
        <v>273</v>
      </c>
      <c r="D74" s="3" t="s">
        <v>274</v>
      </c>
    </row>
    <row r="75" spans="2:4" ht="46.5" thickTop="1" thickBot="1">
      <c r="B75" s="3">
        <v>11</v>
      </c>
      <c r="C75" s="3" t="s">
        <v>275</v>
      </c>
      <c r="D75" s="3" t="s">
        <v>276</v>
      </c>
    </row>
    <row r="76" spans="2:4" ht="46.5" thickTop="1" thickBot="1">
      <c r="B76" s="3">
        <v>12</v>
      </c>
      <c r="C76" s="3" t="s">
        <v>277</v>
      </c>
      <c r="D76" s="3" t="s">
        <v>278</v>
      </c>
    </row>
    <row r="77" spans="2:4" ht="61.5" thickTop="1" thickBot="1">
      <c r="B77" s="3">
        <v>13</v>
      </c>
      <c r="C77" s="3" t="s">
        <v>279</v>
      </c>
      <c r="D77" s="3" t="s">
        <v>280</v>
      </c>
    </row>
    <row r="78" spans="2:4" ht="61.5" thickTop="1" thickBot="1">
      <c r="B78" s="3">
        <v>14</v>
      </c>
      <c r="C78" s="3" t="s">
        <v>281</v>
      </c>
      <c r="D78" s="3" t="s">
        <v>282</v>
      </c>
    </row>
    <row r="79" spans="2:4" ht="46.5" thickTop="1" thickBot="1">
      <c r="B79" s="3">
        <v>15</v>
      </c>
      <c r="C79" s="3" t="s">
        <v>283</v>
      </c>
      <c r="D79" s="3" t="s">
        <v>284</v>
      </c>
    </row>
    <row r="80" spans="2:4" ht="76.5" thickTop="1" thickBot="1">
      <c r="B80" s="3">
        <v>16</v>
      </c>
      <c r="C80" s="3" t="s">
        <v>285</v>
      </c>
      <c r="D80" s="3" t="s">
        <v>286</v>
      </c>
    </row>
    <row r="81" spans="2:4" ht="61.5" thickTop="1" thickBot="1">
      <c r="B81" s="3">
        <v>17</v>
      </c>
      <c r="C81" s="3" t="s">
        <v>287</v>
      </c>
      <c r="D81" s="3" t="s">
        <v>288</v>
      </c>
    </row>
    <row r="82" spans="2:4" ht="46.5" thickTop="1" thickBot="1">
      <c r="B82" s="3">
        <v>18</v>
      </c>
      <c r="C82" s="3" t="s">
        <v>289</v>
      </c>
      <c r="D82" s="3" t="s">
        <v>290</v>
      </c>
    </row>
    <row r="83" spans="2:4" ht="61.5" thickTop="1" thickBot="1">
      <c r="B83" s="3">
        <v>19</v>
      </c>
      <c r="C83" s="3" t="s">
        <v>291</v>
      </c>
      <c r="D83" s="3" t="s">
        <v>292</v>
      </c>
    </row>
    <row r="84" spans="2:4" ht="61.5" thickTop="1" thickBot="1">
      <c r="B84" s="3">
        <v>20</v>
      </c>
      <c r="C84" s="3" t="s">
        <v>293</v>
      </c>
      <c r="D84" s="3" t="s">
        <v>294</v>
      </c>
    </row>
    <row r="85" spans="2:4" ht="61.5" thickTop="1" thickBot="1">
      <c r="B85" s="3">
        <v>21</v>
      </c>
      <c r="C85" s="3" t="s">
        <v>295</v>
      </c>
      <c r="D85" s="3" t="s">
        <v>296</v>
      </c>
    </row>
    <row r="86" spans="2:4" ht="76.5" thickTop="1" thickBot="1">
      <c r="B86" s="3">
        <v>22</v>
      </c>
      <c r="C86" s="3" t="s">
        <v>297</v>
      </c>
      <c r="D86" s="3" t="s">
        <v>298</v>
      </c>
    </row>
    <row r="87" spans="2:4" ht="61.5" thickTop="1" thickBot="1">
      <c r="B87" s="3">
        <v>23</v>
      </c>
      <c r="C87" s="3" t="s">
        <v>299</v>
      </c>
      <c r="D87" s="3" t="s">
        <v>300</v>
      </c>
    </row>
    <row r="88" spans="2:4" ht="16.5" thickTop="1" thickBot="1">
      <c r="B88" s="3">
        <v>24</v>
      </c>
      <c r="C88" s="3" t="s">
        <v>301</v>
      </c>
      <c r="D88" s="3" t="s">
        <v>302</v>
      </c>
    </row>
    <row r="89" spans="2:4" ht="15.75" thickTop="1"/>
    <row r="90" spans="2:4" ht="15.75" thickBot="1"/>
    <row r="91" spans="2:4" ht="16.5" thickTop="1" thickBot="1">
      <c r="B91" s="1" t="s">
        <v>159</v>
      </c>
      <c r="C91" s="34" t="s">
        <v>303</v>
      </c>
      <c r="D91" s="35"/>
    </row>
    <row r="92" spans="2:4">
      <c r="B92" s="2" t="s">
        <v>161</v>
      </c>
      <c r="C92" s="2" t="s">
        <v>162</v>
      </c>
      <c r="D92" s="2" t="s">
        <v>9</v>
      </c>
    </row>
    <row r="93" spans="2:4" ht="61.5" thickTop="1" thickBot="1">
      <c r="B93" s="3">
        <v>0</v>
      </c>
      <c r="C93" s="3" t="s">
        <v>304</v>
      </c>
      <c r="D93" s="3" t="s">
        <v>305</v>
      </c>
    </row>
    <row r="94" spans="2:4" ht="76.5" thickTop="1" thickBot="1">
      <c r="B94" s="3">
        <v>1</v>
      </c>
      <c r="C94" s="3" t="s">
        <v>306</v>
      </c>
      <c r="D94" s="3" t="s">
        <v>307</v>
      </c>
    </row>
    <row r="95" spans="2:4" ht="61.5" thickTop="1" thickBot="1">
      <c r="B95" s="3">
        <v>2</v>
      </c>
      <c r="C95" s="3" t="s">
        <v>308</v>
      </c>
      <c r="D95" s="3" t="s">
        <v>309</v>
      </c>
    </row>
    <row r="96" spans="2:4" ht="46.5" thickTop="1" thickBot="1">
      <c r="B96" s="3">
        <v>3</v>
      </c>
      <c r="C96" s="3" t="s">
        <v>310</v>
      </c>
      <c r="D96" s="3" t="s">
        <v>311</v>
      </c>
    </row>
    <row r="97" spans="2:4" ht="15.75" thickTop="1"/>
    <row r="98" spans="2:4" ht="15.75" thickBot="1"/>
    <row r="99" spans="2:4" ht="16.5" thickTop="1" thickBot="1">
      <c r="B99" s="1" t="s">
        <v>159</v>
      </c>
      <c r="C99" s="34" t="s">
        <v>312</v>
      </c>
      <c r="D99" s="35"/>
    </row>
    <row r="100" spans="2:4" ht="16.5" thickTop="1" thickBot="1">
      <c r="B100" s="2" t="s">
        <v>161</v>
      </c>
      <c r="C100" s="2" t="s">
        <v>162</v>
      </c>
      <c r="D100" s="2" t="s">
        <v>9</v>
      </c>
    </row>
    <row r="101" spans="2:4" ht="31.5" thickTop="1" thickBot="1">
      <c r="B101" s="3">
        <v>0</v>
      </c>
      <c r="C101" s="3" t="s">
        <v>313</v>
      </c>
      <c r="D101" s="3" t="s">
        <v>314</v>
      </c>
    </row>
    <row r="102" spans="2:4" ht="31.5" thickTop="1" thickBot="1">
      <c r="B102" s="3">
        <v>1</v>
      </c>
      <c r="C102" s="3" t="s">
        <v>315</v>
      </c>
      <c r="D102" s="3" t="s">
        <v>316</v>
      </c>
    </row>
    <row r="103" spans="2:4" ht="31.5" thickTop="1" thickBot="1">
      <c r="B103" s="3">
        <v>2</v>
      </c>
      <c r="C103" s="3" t="s">
        <v>317</v>
      </c>
      <c r="D103" s="3" t="s">
        <v>318</v>
      </c>
    </row>
    <row r="104" spans="2:4" ht="15.75" thickTop="1"/>
    <row r="105" spans="2:4" ht="15.75" thickBot="1"/>
    <row r="106" spans="2:4" ht="16.5" thickTop="1" thickBot="1">
      <c r="B106" s="1" t="s">
        <v>159</v>
      </c>
      <c r="C106" s="34" t="s">
        <v>319</v>
      </c>
      <c r="D106" s="35"/>
    </row>
    <row r="107" spans="2:4" ht="16.5" thickTop="1" thickBot="1">
      <c r="B107" s="2" t="s">
        <v>161</v>
      </c>
      <c r="C107" s="2" t="s">
        <v>162</v>
      </c>
      <c r="D107" s="2" t="s">
        <v>9</v>
      </c>
    </row>
    <row r="108" spans="2:4" ht="31.5" thickTop="1" thickBot="1">
      <c r="B108" s="3">
        <v>0</v>
      </c>
      <c r="C108" s="3" t="s">
        <v>320</v>
      </c>
      <c r="D108" s="3" t="s">
        <v>321</v>
      </c>
    </row>
    <row r="109" spans="2:4" ht="31.5" thickTop="1" thickBot="1">
      <c r="B109" s="3">
        <v>1</v>
      </c>
      <c r="C109" s="3" t="s">
        <v>322</v>
      </c>
      <c r="D109" s="3" t="s">
        <v>323</v>
      </c>
    </row>
    <row r="110" spans="2:4" ht="31.5" thickTop="1" thickBot="1">
      <c r="B110" s="3">
        <v>2</v>
      </c>
      <c r="C110" s="3" t="s">
        <v>324</v>
      </c>
      <c r="D110" s="3" t="s">
        <v>323</v>
      </c>
    </row>
    <row r="111" spans="2:4" ht="16.5" thickTop="1" thickBot="1">
      <c r="B111" s="3">
        <v>3</v>
      </c>
      <c r="C111" s="3" t="s">
        <v>325</v>
      </c>
      <c r="D111" s="3" t="s">
        <v>326</v>
      </c>
    </row>
    <row r="112" spans="2:4" ht="15.75" thickTop="1"/>
    <row r="113" spans="2:4" ht="15.75" thickBot="1"/>
    <row r="114" spans="2:4" ht="16.5" thickTop="1" thickBot="1">
      <c r="B114" s="1" t="s">
        <v>159</v>
      </c>
      <c r="C114" s="34" t="s">
        <v>327</v>
      </c>
      <c r="D114" s="35"/>
    </row>
    <row r="115" spans="2:4" ht="16.5" thickTop="1" thickBot="1">
      <c r="B115" s="2" t="s">
        <v>161</v>
      </c>
      <c r="C115" s="2" t="s">
        <v>162</v>
      </c>
      <c r="D115" s="2" t="s">
        <v>9</v>
      </c>
    </row>
    <row r="116" spans="2:4" ht="31.5" thickTop="1" thickBot="1">
      <c r="B116" s="3">
        <v>0</v>
      </c>
      <c r="C116" s="3" t="s">
        <v>328</v>
      </c>
      <c r="D116" s="3" t="s">
        <v>329</v>
      </c>
    </row>
    <row r="117" spans="2:4" ht="31.5" thickTop="1" thickBot="1">
      <c r="B117" s="3">
        <v>1</v>
      </c>
      <c r="C117" s="3" t="s">
        <v>330</v>
      </c>
      <c r="D117" s="3" t="s">
        <v>331</v>
      </c>
    </row>
    <row r="118" spans="2:4" ht="46.5" thickTop="1" thickBot="1">
      <c r="B118" s="3">
        <v>2</v>
      </c>
      <c r="C118" s="3" t="s">
        <v>332</v>
      </c>
      <c r="D118" s="3" t="s">
        <v>333</v>
      </c>
    </row>
    <row r="119" spans="2:4" ht="46.5" thickTop="1" thickBot="1">
      <c r="B119" s="3">
        <v>3</v>
      </c>
      <c r="C119" s="3" t="s">
        <v>334</v>
      </c>
      <c r="D119" s="3" t="s">
        <v>335</v>
      </c>
    </row>
    <row r="120" spans="2:4" ht="15.75" thickTop="1"/>
    <row r="121" spans="2:4" ht="15.75" thickBot="1"/>
    <row r="122" spans="2:4" ht="16.5" thickTop="1" thickBot="1">
      <c r="B122" s="1" t="s">
        <v>159</v>
      </c>
      <c r="C122" s="34" t="s">
        <v>336</v>
      </c>
      <c r="D122" s="35"/>
    </row>
    <row r="123" spans="2:4" ht="16.5" thickTop="1" thickBot="1">
      <c r="B123" s="2" t="s">
        <v>161</v>
      </c>
      <c r="C123" s="2" t="s">
        <v>162</v>
      </c>
      <c r="D123" s="2" t="s">
        <v>9</v>
      </c>
    </row>
    <row r="124" spans="2:4" ht="31.5" thickTop="1" thickBot="1">
      <c r="B124" s="3">
        <v>0</v>
      </c>
      <c r="C124" s="3" t="s">
        <v>337</v>
      </c>
      <c r="D124" s="3" t="s">
        <v>338</v>
      </c>
    </row>
    <row r="125" spans="2:4" ht="61.5" thickTop="1" thickBot="1">
      <c r="B125" s="3">
        <v>1</v>
      </c>
      <c r="C125" s="3" t="s">
        <v>185</v>
      </c>
      <c r="D125" s="3" t="s">
        <v>339</v>
      </c>
    </row>
    <row r="126" spans="2:4" ht="76.5" thickTop="1" thickBot="1">
      <c r="B126" s="3">
        <v>2</v>
      </c>
      <c r="C126" s="3" t="s">
        <v>195</v>
      </c>
      <c r="D126" s="3" t="s">
        <v>340</v>
      </c>
    </row>
    <row r="127" spans="2:4" ht="46.5" thickTop="1" thickBot="1">
      <c r="B127" s="3">
        <v>3</v>
      </c>
      <c r="C127" s="3" t="s">
        <v>207</v>
      </c>
      <c r="D127" s="3" t="s">
        <v>341</v>
      </c>
    </row>
    <row r="128" spans="2:4" ht="46.5" thickTop="1" thickBot="1">
      <c r="B128" s="3">
        <v>4</v>
      </c>
      <c r="C128" s="3" t="s">
        <v>342</v>
      </c>
      <c r="D128" s="3" t="s">
        <v>343</v>
      </c>
    </row>
    <row r="129" spans="2:4" ht="15.75" thickTop="1"/>
    <row r="130" spans="2:4" ht="15.75" thickBot="1"/>
    <row r="131" spans="2:4" ht="16.5" thickTop="1" thickBot="1">
      <c r="B131" s="1" t="s">
        <v>159</v>
      </c>
      <c r="C131" s="34" t="s">
        <v>344</v>
      </c>
      <c r="D131" s="35"/>
    </row>
    <row r="132" spans="2:4" ht="16.5" thickTop="1" thickBot="1">
      <c r="B132" s="2" t="s">
        <v>161</v>
      </c>
      <c r="C132" s="2" t="s">
        <v>162</v>
      </c>
      <c r="D132" s="2" t="s">
        <v>9</v>
      </c>
    </row>
    <row r="133" spans="2:4" ht="46.5" thickTop="1" thickBot="1">
      <c r="B133" s="3">
        <v>0</v>
      </c>
      <c r="C133" s="3" t="s">
        <v>345</v>
      </c>
      <c r="D133" s="3" t="s">
        <v>346</v>
      </c>
    </row>
    <row r="134" spans="2:4" ht="46.5" thickTop="1" thickBot="1">
      <c r="B134" s="3">
        <v>1</v>
      </c>
      <c r="C134" s="3" t="s">
        <v>347</v>
      </c>
      <c r="D134" s="3" t="s">
        <v>348</v>
      </c>
    </row>
    <row r="135" spans="2:4" ht="46.5" thickTop="1" thickBot="1">
      <c r="B135" s="3">
        <v>2</v>
      </c>
      <c r="C135" s="3" t="s">
        <v>349</v>
      </c>
      <c r="D135" s="3" t="s">
        <v>350</v>
      </c>
    </row>
    <row r="136" spans="2:4" ht="31.5" thickTop="1" thickBot="1">
      <c r="B136" s="3">
        <v>3</v>
      </c>
      <c r="C136" s="3" t="s">
        <v>351</v>
      </c>
      <c r="D136" s="3" t="s">
        <v>352</v>
      </c>
    </row>
    <row r="137" spans="2:4" ht="15.75" thickTop="1"/>
    <row r="138" spans="2:4" ht="15.75" thickBot="1"/>
    <row r="139" spans="2:4" ht="16.5" thickTop="1" thickBot="1">
      <c r="B139" s="1" t="s">
        <v>159</v>
      </c>
      <c r="C139" s="34" t="s">
        <v>353</v>
      </c>
      <c r="D139" s="35"/>
    </row>
    <row r="140" spans="2:4" ht="16.5" thickTop="1" thickBot="1">
      <c r="B140" s="2" t="s">
        <v>161</v>
      </c>
      <c r="C140" s="2" t="s">
        <v>162</v>
      </c>
      <c r="D140" s="2" t="s">
        <v>9</v>
      </c>
    </row>
    <row r="141" spans="2:4" ht="46.5" thickTop="1" thickBot="1">
      <c r="B141" s="3">
        <v>0</v>
      </c>
      <c r="C141" s="3" t="s">
        <v>354</v>
      </c>
      <c r="D141" s="3" t="s">
        <v>355</v>
      </c>
    </row>
    <row r="142" spans="2:4" ht="46.5" thickTop="1" thickBot="1">
      <c r="B142" s="3">
        <v>1</v>
      </c>
      <c r="C142" s="3" t="s">
        <v>356</v>
      </c>
      <c r="D142" s="3" t="s">
        <v>357</v>
      </c>
    </row>
    <row r="143" spans="2:4" ht="76.5" thickTop="1" thickBot="1">
      <c r="B143" s="3">
        <v>2</v>
      </c>
      <c r="C143" s="3" t="s">
        <v>358</v>
      </c>
      <c r="D143" s="3" t="s">
        <v>359</v>
      </c>
    </row>
    <row r="144" spans="2:4" ht="76.5" thickTop="1" thickBot="1">
      <c r="B144" s="3">
        <v>3</v>
      </c>
      <c r="C144" s="3" t="s">
        <v>360</v>
      </c>
      <c r="D144" s="3" t="s">
        <v>361</v>
      </c>
    </row>
    <row r="145" spans="2:4" ht="46.5" thickTop="1" thickBot="1">
      <c r="B145" s="3">
        <v>4</v>
      </c>
      <c r="C145" s="3" t="s">
        <v>362</v>
      </c>
      <c r="D145" s="3" t="s">
        <v>363</v>
      </c>
    </row>
    <row r="146" spans="2:4" ht="31.5" thickTop="1" thickBot="1">
      <c r="B146" s="3">
        <v>5</v>
      </c>
      <c r="C146" s="3" t="s">
        <v>364</v>
      </c>
      <c r="D146" s="3" t="s">
        <v>365</v>
      </c>
    </row>
    <row r="147" spans="2:4" ht="31.5" thickTop="1" thickBot="1">
      <c r="B147" s="3">
        <v>6</v>
      </c>
      <c r="C147" s="3" t="s">
        <v>366</v>
      </c>
      <c r="D147" s="3" t="s">
        <v>367</v>
      </c>
    </row>
    <row r="148" spans="2:4" ht="31.5" thickTop="1" thickBot="1">
      <c r="B148" s="3">
        <v>7</v>
      </c>
      <c r="C148" s="3" t="s">
        <v>368</v>
      </c>
      <c r="D148" s="3" t="s">
        <v>369</v>
      </c>
    </row>
    <row r="149" spans="2:4" ht="16.5" thickTop="1" thickBot="1">
      <c r="B149" s="3">
        <v>8</v>
      </c>
      <c r="C149" s="3" t="s">
        <v>370</v>
      </c>
      <c r="D149" s="3" t="s">
        <v>371</v>
      </c>
    </row>
    <row r="150" spans="2:4" ht="16.5" thickTop="1" thickBot="1">
      <c r="B150" s="3">
        <v>9</v>
      </c>
      <c r="C150" s="3" t="s">
        <v>372</v>
      </c>
      <c r="D150" s="3" t="s">
        <v>373</v>
      </c>
    </row>
    <row r="151" spans="2:4" ht="16.5" thickTop="1" thickBot="1">
      <c r="B151" s="3">
        <v>10</v>
      </c>
      <c r="C151" s="3" t="s">
        <v>374</v>
      </c>
      <c r="D151" s="3" t="s">
        <v>375</v>
      </c>
    </row>
    <row r="152" spans="2:4" ht="31.5" thickTop="1" thickBot="1">
      <c r="B152" s="3">
        <v>11</v>
      </c>
      <c r="C152" s="3" t="s">
        <v>376</v>
      </c>
      <c r="D152" s="3" t="s">
        <v>377</v>
      </c>
    </row>
    <row r="153" spans="2:4" ht="31.5" thickTop="1" thickBot="1">
      <c r="B153" s="3">
        <v>12</v>
      </c>
      <c r="C153" s="3" t="s">
        <v>378</v>
      </c>
      <c r="D153" s="3" t="s">
        <v>379</v>
      </c>
    </row>
    <row r="154" spans="2:4" ht="31.5" thickTop="1" thickBot="1">
      <c r="B154" s="3">
        <v>13</v>
      </c>
      <c r="C154" s="3" t="s">
        <v>380</v>
      </c>
      <c r="D154" s="3" t="s">
        <v>381</v>
      </c>
    </row>
    <row r="155" spans="2:4" ht="46.5" thickTop="1" thickBot="1">
      <c r="B155" s="3">
        <v>14</v>
      </c>
      <c r="C155" s="3" t="s">
        <v>382</v>
      </c>
      <c r="D155" s="3" t="s">
        <v>383</v>
      </c>
    </row>
    <row r="156" spans="2:4" ht="61.5" thickTop="1" thickBot="1">
      <c r="B156" s="3">
        <v>15</v>
      </c>
      <c r="C156" s="3" t="s">
        <v>384</v>
      </c>
      <c r="D156" s="3" t="s">
        <v>385</v>
      </c>
    </row>
    <row r="157" spans="2:4" ht="15.75" thickTop="1"/>
  </sheetData>
  <mergeCells count="13">
    <mergeCell ref="C3:D3"/>
    <mergeCell ref="B49:B59"/>
    <mergeCell ref="C62:D62"/>
    <mergeCell ref="C91:D91"/>
    <mergeCell ref="C10:D10"/>
    <mergeCell ref="C16:D16"/>
    <mergeCell ref="C47:D47"/>
    <mergeCell ref="C139:D139"/>
    <mergeCell ref="C99:D99"/>
    <mergeCell ref="C106:D106"/>
    <mergeCell ref="C114:D114"/>
    <mergeCell ref="C122:D122"/>
    <mergeCell ref="C131:D1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14"/>
  <sheetViews>
    <sheetView topLeftCell="A4" zoomScale="80" zoomScaleNormal="80" workbookViewId="0">
      <selection activeCell="B5" sqref="B5:C5"/>
    </sheetView>
  </sheetViews>
  <sheetFormatPr defaultColWidth="11.42578125" defaultRowHeight="15"/>
  <cols>
    <col min="2" max="2" width="26.140625" customWidth="1"/>
    <col min="3" max="3" width="147.5703125" customWidth="1"/>
  </cols>
  <sheetData>
    <row r="1" spans="2:3">
      <c r="B1" s="39" t="s">
        <v>386</v>
      </c>
      <c r="C1" s="39"/>
    </row>
    <row r="2" spans="2:3">
      <c r="B2" s="39" t="s">
        <v>387</v>
      </c>
      <c r="C2" s="39"/>
    </row>
    <row r="3" spans="2:3" ht="53.25" customHeight="1">
      <c r="B3" s="40" t="s">
        <v>388</v>
      </c>
      <c r="C3" s="40"/>
    </row>
    <row r="4" spans="2:3" ht="171" customHeight="1">
      <c r="B4" s="40" t="s">
        <v>389</v>
      </c>
      <c r="C4" s="40"/>
    </row>
    <row r="5" spans="2:3" ht="33" customHeight="1" thickBot="1">
      <c r="B5" s="41" t="s">
        <v>390</v>
      </c>
      <c r="C5" s="42"/>
    </row>
    <row r="6" spans="2:3" ht="40.5" customHeight="1" thickTop="1" thickBot="1">
      <c r="B6" s="4" t="s">
        <v>19</v>
      </c>
      <c r="C6" s="5" t="s">
        <v>391</v>
      </c>
    </row>
    <row r="7" spans="2:3" ht="140.25" customHeight="1" thickTop="1" thickBot="1">
      <c r="B7" s="6" t="s">
        <v>23</v>
      </c>
      <c r="C7" s="7" t="s">
        <v>392</v>
      </c>
    </row>
    <row r="8" spans="2:3" ht="16.5" thickTop="1" thickBot="1">
      <c r="B8" s="8" t="s">
        <v>44</v>
      </c>
      <c r="C8" s="9" t="s">
        <v>393</v>
      </c>
    </row>
    <row r="9" spans="2:3" ht="15.75" thickTop="1"/>
    <row r="10" spans="2:3">
      <c r="C10" s="10"/>
    </row>
    <row r="14" spans="2:3" ht="14.25" customHeight="1"/>
  </sheetData>
  <mergeCells count="5">
    <mergeCell ref="B1:C1"/>
    <mergeCell ref="B2:C2"/>
    <mergeCell ref="B3:C3"/>
    <mergeCell ref="B4:C4"/>
    <mergeCell ref="B5:C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8"/>
  <sheetViews>
    <sheetView workbookViewId="0">
      <selection sqref="A1:T1"/>
    </sheetView>
  </sheetViews>
  <sheetFormatPr defaultColWidth="11.5703125" defaultRowHeight="15"/>
  <cols>
    <col min="1" max="2" width="10.7109375" customWidth="1"/>
    <col min="3" max="5" width="6.7109375" customWidth="1"/>
    <col min="6" max="7" width="7.7109375" customWidth="1"/>
    <col min="8" max="9" width="8.7109375" customWidth="1"/>
    <col min="10" max="17" width="5.7109375" customWidth="1"/>
  </cols>
  <sheetData>
    <row r="1" spans="1:20" ht="18.75">
      <c r="A1" s="47" t="s">
        <v>394</v>
      </c>
      <c r="B1" s="47"/>
      <c r="C1" s="47"/>
      <c r="D1" s="47"/>
      <c r="E1" s="47"/>
      <c r="F1" s="47"/>
      <c r="G1" s="47"/>
      <c r="H1" s="47"/>
      <c r="I1" s="47"/>
      <c r="J1" s="47"/>
      <c r="K1" s="47"/>
      <c r="L1" s="47"/>
      <c r="M1" s="47"/>
      <c r="N1" s="47"/>
      <c r="O1" s="47"/>
      <c r="P1" s="47"/>
      <c r="Q1" s="47"/>
      <c r="R1" s="47"/>
      <c r="S1" s="47"/>
      <c r="T1" s="47"/>
    </row>
    <row r="2" spans="1:20">
      <c r="A2" s="15">
        <v>1</v>
      </c>
      <c r="B2" s="15">
        <v>2</v>
      </c>
      <c r="C2" s="15">
        <v>3</v>
      </c>
      <c r="D2" s="15">
        <v>4</v>
      </c>
      <c r="E2" s="15">
        <v>5</v>
      </c>
      <c r="F2" s="15">
        <v>6</v>
      </c>
      <c r="G2" s="15">
        <v>7</v>
      </c>
      <c r="H2" s="15">
        <v>8</v>
      </c>
      <c r="I2" s="15">
        <v>9</v>
      </c>
      <c r="J2" s="15">
        <v>10</v>
      </c>
      <c r="K2" s="15">
        <v>11</v>
      </c>
      <c r="L2" s="15">
        <v>12</v>
      </c>
      <c r="M2" s="15">
        <v>13</v>
      </c>
      <c r="N2" s="15">
        <v>14</v>
      </c>
      <c r="O2" s="15">
        <v>15</v>
      </c>
      <c r="P2" s="15">
        <v>16</v>
      </c>
      <c r="Q2" s="15">
        <v>17</v>
      </c>
      <c r="R2" s="15">
        <v>18</v>
      </c>
      <c r="S2" s="15">
        <v>19</v>
      </c>
      <c r="T2" s="15">
        <v>20</v>
      </c>
    </row>
    <row r="3" spans="1:20">
      <c r="A3" s="16"/>
      <c r="B3" s="16"/>
      <c r="C3" s="16"/>
      <c r="D3" s="16"/>
      <c r="E3" s="16"/>
      <c r="F3" s="16"/>
      <c r="G3" s="16"/>
      <c r="H3" s="16"/>
      <c r="I3" s="16"/>
      <c r="J3" s="16"/>
      <c r="K3" s="16"/>
      <c r="L3" s="16"/>
      <c r="M3" s="16"/>
      <c r="N3" s="16"/>
      <c r="O3" s="16"/>
      <c r="P3" s="16"/>
      <c r="Q3" s="16"/>
      <c r="R3" s="16"/>
      <c r="S3" s="16"/>
      <c r="T3" s="16"/>
    </row>
    <row r="4" spans="1:20">
      <c r="A4" s="43" t="s">
        <v>38</v>
      </c>
      <c r="B4" s="43"/>
      <c r="C4" s="45" t="s">
        <v>40</v>
      </c>
      <c r="D4" s="45"/>
      <c r="E4" s="45"/>
      <c r="F4" s="45" t="s">
        <v>395</v>
      </c>
      <c r="G4" s="45"/>
      <c r="H4" s="43" t="s">
        <v>396</v>
      </c>
      <c r="I4" s="43"/>
      <c r="J4" s="43" t="s">
        <v>397</v>
      </c>
      <c r="K4" s="43"/>
      <c r="L4" s="43"/>
      <c r="M4" s="43"/>
      <c r="N4" s="43" t="s">
        <v>398</v>
      </c>
      <c r="O4" s="43"/>
      <c r="P4" s="44"/>
      <c r="Q4" s="44"/>
      <c r="R4" s="43" t="s">
        <v>399</v>
      </c>
      <c r="S4" s="43"/>
      <c r="T4" s="43"/>
    </row>
    <row r="5" spans="1:20" ht="15.6" customHeight="1">
      <c r="A5" s="43" t="s">
        <v>400</v>
      </c>
      <c r="B5" s="43"/>
      <c r="C5" s="43" t="s">
        <v>400</v>
      </c>
      <c r="D5" s="43"/>
      <c r="E5" s="48"/>
      <c r="F5" s="43" t="s">
        <v>401</v>
      </c>
      <c r="G5" s="43"/>
      <c r="H5" s="49" t="s">
        <v>402</v>
      </c>
      <c r="I5" s="49"/>
      <c r="J5" s="49" t="s">
        <v>403</v>
      </c>
      <c r="K5" s="49"/>
      <c r="L5" s="49"/>
      <c r="M5" s="49"/>
      <c r="N5" s="49" t="s">
        <v>404</v>
      </c>
      <c r="O5" s="49"/>
      <c r="P5" s="49"/>
      <c r="Q5" s="49"/>
      <c r="R5" s="45" t="s">
        <v>405</v>
      </c>
      <c r="S5" s="43"/>
      <c r="T5" s="43"/>
    </row>
    <row r="6" spans="1:20" ht="59.45" customHeight="1">
      <c r="F6" s="45" t="s">
        <v>406</v>
      </c>
      <c r="G6" s="45"/>
      <c r="H6" s="49"/>
      <c r="I6" s="49"/>
      <c r="J6" s="49"/>
      <c r="K6" s="49"/>
      <c r="L6" s="49"/>
      <c r="M6" s="49"/>
      <c r="N6" s="49"/>
      <c r="O6" s="49"/>
      <c r="P6" s="49"/>
      <c r="Q6" s="49"/>
      <c r="R6" s="43"/>
      <c r="S6" s="43"/>
      <c r="T6" s="43"/>
    </row>
    <row r="7" spans="1:20" ht="50.45" customHeight="1">
      <c r="F7" s="45" t="s">
        <v>407</v>
      </c>
      <c r="G7" s="45"/>
    </row>
    <row r="8" spans="1:20">
      <c r="F8" s="46"/>
      <c r="G8" s="46"/>
    </row>
  </sheetData>
  <mergeCells count="18">
    <mergeCell ref="H4:I4"/>
    <mergeCell ref="J4:M4"/>
    <mergeCell ref="N4:Q4"/>
    <mergeCell ref="F7:G7"/>
    <mergeCell ref="F8:G8"/>
    <mergeCell ref="A1:T1"/>
    <mergeCell ref="R4:T4"/>
    <mergeCell ref="A5:B5"/>
    <mergeCell ref="C5:E5"/>
    <mergeCell ref="F5:G5"/>
    <mergeCell ref="H5:I6"/>
    <mergeCell ref="J5:M6"/>
    <mergeCell ref="N5:Q6"/>
    <mergeCell ref="R5:T6"/>
    <mergeCell ref="F6:G6"/>
    <mergeCell ref="A4:B4"/>
    <mergeCell ref="C4:E4"/>
    <mergeCell ref="F4:G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8"/>
  <sheetViews>
    <sheetView zoomScale="90" zoomScaleNormal="90" workbookViewId="0">
      <selection sqref="A1:AD1"/>
    </sheetView>
  </sheetViews>
  <sheetFormatPr defaultColWidth="11.5703125" defaultRowHeight="15"/>
  <cols>
    <col min="1" max="2" width="10.7109375" customWidth="1"/>
    <col min="3" max="5" width="6.7109375" customWidth="1"/>
    <col min="6" max="7" width="7.7109375" customWidth="1"/>
    <col min="8" max="13" width="8.7109375" customWidth="1"/>
    <col min="14" max="21" width="5.7109375" customWidth="1"/>
    <col min="22" max="22" width="21.7109375" customWidth="1"/>
    <col min="23" max="30" width="5.7109375" customWidth="1"/>
  </cols>
  <sheetData>
    <row r="1" spans="1:30" ht="18.75">
      <c r="A1" s="51" t="s">
        <v>27</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3"/>
    </row>
    <row r="2" spans="1:30">
      <c r="A2" s="15">
        <v>1</v>
      </c>
      <c r="B2" s="15">
        <v>2</v>
      </c>
      <c r="C2" s="15">
        <v>3</v>
      </c>
      <c r="D2" s="15">
        <v>4</v>
      </c>
      <c r="E2" s="15">
        <v>5</v>
      </c>
      <c r="F2" s="15">
        <v>6</v>
      </c>
      <c r="G2" s="15">
        <v>7</v>
      </c>
      <c r="H2" s="15">
        <v>8</v>
      </c>
      <c r="I2" s="15">
        <v>9</v>
      </c>
      <c r="J2" s="15">
        <v>10</v>
      </c>
      <c r="K2" s="15">
        <v>11</v>
      </c>
      <c r="L2" s="15">
        <v>12</v>
      </c>
      <c r="M2" s="15">
        <v>13</v>
      </c>
      <c r="N2" s="15">
        <v>14</v>
      </c>
      <c r="O2" s="15">
        <v>15</v>
      </c>
      <c r="P2" s="15">
        <v>16</v>
      </c>
      <c r="Q2" s="15">
        <v>17</v>
      </c>
      <c r="R2" s="15">
        <v>18</v>
      </c>
      <c r="S2" s="15">
        <v>19</v>
      </c>
      <c r="T2" s="15">
        <v>20</v>
      </c>
      <c r="U2" s="15">
        <v>21</v>
      </c>
      <c r="V2" s="15">
        <v>22</v>
      </c>
      <c r="W2" s="15">
        <v>23</v>
      </c>
      <c r="X2" s="15">
        <v>24</v>
      </c>
      <c r="Y2" s="15">
        <v>25</v>
      </c>
      <c r="Z2" s="15">
        <v>26</v>
      </c>
      <c r="AA2" s="15">
        <v>27</v>
      </c>
      <c r="AB2" s="15">
        <v>28</v>
      </c>
      <c r="AC2" s="15">
        <v>29</v>
      </c>
      <c r="AD2" s="15">
        <v>30</v>
      </c>
    </row>
    <row r="3" spans="1:30">
      <c r="A3" s="17"/>
      <c r="B3" s="17"/>
      <c r="C3" s="17"/>
      <c r="D3" s="17"/>
      <c r="E3" s="17"/>
      <c r="F3" s="17"/>
      <c r="G3" s="17"/>
      <c r="H3" s="17"/>
      <c r="I3" s="17"/>
      <c r="J3" s="17"/>
      <c r="K3" s="17"/>
      <c r="L3" s="17"/>
      <c r="M3" s="17"/>
      <c r="N3" s="17"/>
      <c r="O3" s="17"/>
      <c r="P3" s="17"/>
      <c r="Q3" s="17"/>
      <c r="R3" s="17"/>
      <c r="S3" s="17"/>
      <c r="T3" s="17"/>
      <c r="U3" s="17"/>
      <c r="V3" s="17"/>
      <c r="W3" s="16"/>
      <c r="X3" s="16"/>
      <c r="Y3" s="16"/>
      <c r="Z3" s="16"/>
      <c r="AA3" s="16"/>
      <c r="AB3" s="16"/>
      <c r="AC3" s="16"/>
      <c r="AD3" s="16"/>
    </row>
    <row r="4" spans="1:30">
      <c r="A4" s="43" t="s">
        <v>38</v>
      </c>
      <c r="B4" s="43"/>
      <c r="C4" s="45" t="s">
        <v>40</v>
      </c>
      <c r="D4" s="45"/>
      <c r="E4" s="45"/>
      <c r="F4" s="45" t="s">
        <v>408</v>
      </c>
      <c r="G4" s="45"/>
      <c r="H4" s="43" t="s">
        <v>396</v>
      </c>
      <c r="I4" s="44"/>
      <c r="J4" s="43" t="s">
        <v>409</v>
      </c>
      <c r="K4" s="43"/>
      <c r="L4" s="43" t="s">
        <v>410</v>
      </c>
      <c r="M4" s="43"/>
      <c r="N4" s="43" t="s">
        <v>397</v>
      </c>
      <c r="O4" s="43"/>
      <c r="P4" s="43"/>
      <c r="Q4" s="43"/>
      <c r="R4" s="43" t="s">
        <v>411</v>
      </c>
      <c r="S4" s="43"/>
      <c r="T4" s="44"/>
      <c r="U4" s="50"/>
      <c r="V4" s="16" t="s">
        <v>399</v>
      </c>
      <c r="W4" s="43" t="s">
        <v>412</v>
      </c>
      <c r="X4" s="43"/>
      <c r="Y4" s="43"/>
      <c r="Z4" s="43"/>
      <c r="AA4" s="43"/>
      <c r="AB4" s="43"/>
      <c r="AC4" s="43"/>
      <c r="AD4" s="43"/>
    </row>
    <row r="5" spans="1:30" ht="14.45" customHeight="1">
      <c r="A5" s="43" t="s">
        <v>400</v>
      </c>
      <c r="B5" s="43"/>
      <c r="C5" s="43" t="s">
        <v>400</v>
      </c>
      <c r="D5" s="43"/>
      <c r="E5" s="48"/>
      <c r="F5" s="49" t="s">
        <v>413</v>
      </c>
      <c r="G5" s="49"/>
      <c r="H5" s="49" t="s">
        <v>402</v>
      </c>
      <c r="I5" s="49"/>
      <c r="J5" s="49" t="s">
        <v>402</v>
      </c>
      <c r="K5" s="49"/>
      <c r="L5" s="49" t="s">
        <v>402</v>
      </c>
      <c r="M5" s="49"/>
      <c r="N5" s="49" t="s">
        <v>403</v>
      </c>
      <c r="O5" s="49"/>
      <c r="P5" s="49"/>
      <c r="Q5" s="49"/>
      <c r="R5" s="49" t="s">
        <v>404</v>
      </c>
      <c r="S5" s="49"/>
      <c r="T5" s="49"/>
      <c r="U5" s="41"/>
      <c r="V5" s="49" t="s">
        <v>414</v>
      </c>
      <c r="W5" s="49" t="s">
        <v>415</v>
      </c>
      <c r="X5" s="49"/>
      <c r="Y5" s="49" t="s">
        <v>416</v>
      </c>
      <c r="Z5" s="49"/>
      <c r="AA5" s="49" t="s">
        <v>417</v>
      </c>
      <c r="AB5" s="49"/>
      <c r="AC5" s="49"/>
      <c r="AD5" s="49"/>
    </row>
    <row r="6" spans="1:30" ht="60" customHeight="1">
      <c r="F6" s="49"/>
      <c r="G6" s="49"/>
      <c r="H6" s="49"/>
      <c r="I6" s="49"/>
      <c r="J6" s="49"/>
      <c r="K6" s="49"/>
      <c r="L6" s="49"/>
      <c r="M6" s="49"/>
      <c r="N6" s="49"/>
      <c r="O6" s="49"/>
      <c r="P6" s="49"/>
      <c r="Q6" s="49"/>
      <c r="R6" s="49"/>
      <c r="S6" s="49"/>
      <c r="T6" s="49"/>
      <c r="U6" s="41"/>
      <c r="V6" s="49"/>
      <c r="W6" s="49"/>
      <c r="X6" s="49"/>
      <c r="Y6" s="49"/>
      <c r="Z6" s="49"/>
      <c r="AA6" s="49"/>
      <c r="AB6" s="49"/>
      <c r="AC6" s="49"/>
      <c r="AD6" s="49"/>
    </row>
    <row r="7" spans="1:30" ht="63.6" customHeight="1">
      <c r="F7" s="49"/>
      <c r="G7" s="49"/>
      <c r="V7" s="49"/>
      <c r="W7" s="18"/>
    </row>
    <row r="8" spans="1:30">
      <c r="F8" s="46"/>
      <c r="G8" s="46"/>
    </row>
  </sheetData>
  <mergeCells count="23">
    <mergeCell ref="A1:AD1"/>
    <mergeCell ref="R5:U6"/>
    <mergeCell ref="V5:V7"/>
    <mergeCell ref="W5:X6"/>
    <mergeCell ref="Y5:Z6"/>
    <mergeCell ref="AA5:AD6"/>
    <mergeCell ref="L4:M4"/>
    <mergeCell ref="F8:G8"/>
    <mergeCell ref="N4:Q4"/>
    <mergeCell ref="R4:U4"/>
    <mergeCell ref="W4:AD4"/>
    <mergeCell ref="A5:B5"/>
    <mergeCell ref="C5:E5"/>
    <mergeCell ref="F5:G7"/>
    <mergeCell ref="H5:I6"/>
    <mergeCell ref="J5:K6"/>
    <mergeCell ref="L5:M6"/>
    <mergeCell ref="N5:Q6"/>
    <mergeCell ref="A4:B4"/>
    <mergeCell ref="C4:E4"/>
    <mergeCell ref="F4:G4"/>
    <mergeCell ref="H4:I4"/>
    <mergeCell ref="J4:K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eba0c2-f36b-4651-b166-321005ef9bd5">
      <Terms xmlns="http://schemas.microsoft.com/office/infopath/2007/PartnerControls"/>
    </lcf76f155ced4ddcb4097134ff3c332f>
    <TaxCatchAll xmlns="33cb08ec-2bec-4dfa-b9c2-99b974eb307a" xsi:nil="true"/>
    <_Flow_SignoffStatus xmlns="a1eba0c2-f36b-4651-b166-321005ef9bd5"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4F875B922180C418F2AF9533453ADD0" ma:contentTypeVersion="18" ma:contentTypeDescription="Create a new document." ma:contentTypeScope="" ma:versionID="00e18382c69993aa5415cab04a8b3767">
  <xsd:schema xmlns:xsd="http://www.w3.org/2001/XMLSchema" xmlns:xs="http://www.w3.org/2001/XMLSchema" xmlns:p="http://schemas.microsoft.com/office/2006/metadata/properties" xmlns:ns1="http://schemas.microsoft.com/sharepoint/v3" xmlns:ns2="a1eba0c2-f36b-4651-b166-321005ef9bd5" xmlns:ns3="33cb08ec-2bec-4dfa-b9c2-99b974eb307a" targetNamespace="http://schemas.microsoft.com/office/2006/metadata/properties" ma:root="true" ma:fieldsID="8b7fa65a4152bd8946f66d5f3329f120" ns1:_="" ns2:_="" ns3:_="">
    <xsd:import namespace="http://schemas.microsoft.com/sharepoint/v3"/>
    <xsd:import namespace="a1eba0c2-f36b-4651-b166-321005ef9bd5"/>
    <xsd:import namespace="33cb08ec-2bec-4dfa-b9c2-99b974eb307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ObjectDetectorVersions" minOccurs="0"/>
                <xsd:element ref="ns2:_Flow_SignoffStatu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eba0c2-f36b-4651-b166-321005ef9b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_Flow_SignoffStatus" ma:index="22"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cb08ec-2bec-4dfa-b9c2-99b974eb307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0146ab59-1936-426a-b3a3-2b186f64b247}" ma:internalName="TaxCatchAll" ma:showField="CatchAllData" ma:web="33cb08ec-2bec-4dfa-b9c2-99b974eb30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EAF8EB-E385-4D9F-9B4A-652E2A0EB494}">
  <ds:schemaRefs>
    <ds:schemaRef ds:uri="http://schemas.microsoft.com/office/2006/metadata/properties"/>
    <ds:schemaRef ds:uri="http://schemas.microsoft.com/office/infopath/2007/PartnerControls"/>
    <ds:schemaRef ds:uri="a1eba0c2-f36b-4651-b166-321005ef9bd5"/>
    <ds:schemaRef ds:uri="33cb08ec-2bec-4dfa-b9c2-99b974eb307a"/>
    <ds:schemaRef ds:uri="http://schemas.microsoft.com/sharepoint/v3"/>
  </ds:schemaRefs>
</ds:datastoreItem>
</file>

<file path=customXml/itemProps2.xml><?xml version="1.0" encoding="utf-8"?>
<ds:datastoreItem xmlns:ds="http://schemas.openxmlformats.org/officeDocument/2006/customXml" ds:itemID="{D353BFC6-68F0-46E1-91AB-E2703CE758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1eba0c2-f36b-4651-b166-321005ef9bd5"/>
    <ds:schemaRef ds:uri="33cb08ec-2bec-4dfa-b9c2-99b974eb30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B1E24D-89DC-43BB-B09A-1B55ACC77B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PH</vt:lpstr>
      <vt:lpstr>NPH</vt:lpstr>
      <vt:lpstr>RURAL</vt:lpstr>
      <vt:lpstr>DOMINIOS</vt:lpstr>
      <vt:lpstr>ESPECIFICACIONES</vt:lpstr>
      <vt:lpstr>NUMERO_PREDIAL_ANTIGUO</vt:lpstr>
      <vt:lpstr>NUMERO_PREDIAL_NUEVO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carlos cardozo nuñez</dc:creator>
  <cp:keywords/>
  <dc:description/>
  <cp:lastModifiedBy>Nataly Alejandra Sarmiento Ospina</cp:lastModifiedBy>
  <cp:revision/>
  <dcterms:created xsi:type="dcterms:W3CDTF">2021-11-23T19:52:39Z</dcterms:created>
  <dcterms:modified xsi:type="dcterms:W3CDTF">2024-10-09T22:07:06Z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0x01010064F875B922180C418F2AF9533453ADD0</vt:lpwstr>
  </property>
  <property fmtid="{D5CDD505-2E9C-101B-9397-08002B2CF9AE}" pid="3" name="MediaServiceImageTags">
    <vt:lpwstr/>
  </property>
</Properties>
</file>