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QUIPO\Downloads\"/>
    </mc:Choice>
  </mc:AlternateContent>
  <xr:revisionPtr revIDLastSave="0" documentId="13_ncr:1_{9A1D7074-A131-4087-9D51-A373EB1C5D66}" xr6:coauthVersionLast="47" xr6:coauthVersionMax="47" xr10:uidLastSave="{00000000-0000-0000-0000-000000000000}"/>
  <bookViews>
    <workbookView xWindow="-120" yWindow="-120" windowWidth="20730" windowHeight="11040" xr2:uid="{7AEC964B-7FBA-4D6E-B96B-7AAA67EE11BC}"/>
  </bookViews>
  <sheets>
    <sheet name="PH" sheetId="1" r:id="rId1"/>
    <sheet name="NPH" sheetId="2" r:id="rId2"/>
    <sheet name="RURAL" sheetId="3" r:id="rId3"/>
    <sheet name="ESPECIFICACIONES"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 l="1"/>
  <c r="N3" i="2"/>
  <c r="O3" i="1" l="1"/>
</calcChain>
</file>

<file path=xl/sharedStrings.xml><?xml version="1.0" encoding="utf-8"?>
<sst xmlns="http://schemas.openxmlformats.org/spreadsheetml/2006/main" count="251" uniqueCount="91">
  <si>
    <t>ID_OFERTA_PH</t>
  </si>
  <si>
    <t>NUMERO_PREDIAL_ANTIGUO</t>
  </si>
  <si>
    <t>NUMERO_PREDIAL_NUEVO</t>
  </si>
  <si>
    <t>MATRICULA_INMOBILIARIA</t>
  </si>
  <si>
    <t>CODIGO_HOMOLOGADO</t>
  </si>
  <si>
    <t>TIPO_OFERTA</t>
  </si>
  <si>
    <t>DEPARTAMENTO</t>
  </si>
  <si>
    <t>MUNICIPIO</t>
  </si>
  <si>
    <t>NOMBRE_BARRIO</t>
  </si>
  <si>
    <t>ESTRATO</t>
  </si>
  <si>
    <t>DIRECCION</t>
  </si>
  <si>
    <t>VALOR_ARRIENDO</t>
  </si>
  <si>
    <t>VALOR_ADMINISTRACION</t>
  </si>
  <si>
    <t>VALOR_OFERTA_VENTA</t>
  </si>
  <si>
    <t>PORCENTAJE_NEGOCIACION</t>
  </si>
  <si>
    <t>VALOR_OFERTA_NEGOCIADO</t>
  </si>
  <si>
    <t>ANIO_CONSTRUCCION</t>
  </si>
  <si>
    <t>ALTURA_EDIFICIO</t>
  </si>
  <si>
    <t>No_PISO</t>
  </si>
  <si>
    <t>AREA_CONSTRUIDA _m2</t>
  </si>
  <si>
    <t>AREA_PRIVADA_m2</t>
  </si>
  <si>
    <t>No_GARAJES</t>
  </si>
  <si>
    <t>No_DEPOSITOS</t>
  </si>
  <si>
    <t>VR_TOTAL_TERRAZA_BALCÓN_Y_O_PATIO</t>
  </si>
  <si>
    <t>VALOR_GARAJES</t>
  </si>
  <si>
    <t>VALOR_DEPOSITOS</t>
  </si>
  <si>
    <t>OBSERVACIONES</t>
  </si>
  <si>
    <t>LATITUD</t>
  </si>
  <si>
    <t>LONGITUD</t>
  </si>
  <si>
    <t>CONSERVACION</t>
  </si>
  <si>
    <t>FECHA_CAPTURA_OFERTA</t>
  </si>
  <si>
    <t>TIEMPO_OFERTA_MERCADO</t>
  </si>
  <si>
    <t>NUMERO_CONTACTO_OFERENTE</t>
  </si>
  <si>
    <t>NOMBRE_OFERENTE</t>
  </si>
  <si>
    <t>COEFICIENTE</t>
  </si>
  <si>
    <t>AVALUO_CATASTRAL</t>
  </si>
  <si>
    <t>DESTINACION_ECONOMICA</t>
  </si>
  <si>
    <t>DERECHO_TIPO</t>
  </si>
  <si>
    <t>TIPO_TIPOLOGIA</t>
  </si>
  <si>
    <t>String</t>
  </si>
  <si>
    <t>Dominio</t>
  </si>
  <si>
    <t>Number</t>
  </si>
  <si>
    <t>Date</t>
  </si>
  <si>
    <t>12345678901234567892</t>
  </si>
  <si>
    <t>110010110001700250034901131301</t>
  </si>
  <si>
    <t>178956789123</t>
  </si>
  <si>
    <t>Vacio</t>
  </si>
  <si>
    <t>001</t>
  </si>
  <si>
    <t>Las ferias</t>
  </si>
  <si>
    <t>CR 69 # 74-16</t>
  </si>
  <si>
    <t>Apto de 85 m2 de área privada, torre esquinera, 3 habitaciones, sala comedor, 1 balcon de 5 m2 aprox, 1 garaje cubierto y 1 deposito. Conjunto Club house, con piscina, gym, sala de juntas, zonas humedas.</t>
  </si>
  <si>
    <t>Ricardo Leon</t>
  </si>
  <si>
    <t>ID_OFERTA_NPH</t>
  </si>
  <si>
    <t>AREA_TERRENO_M2</t>
  </si>
  <si>
    <t>AREA_CONSTRUCCION_M2</t>
  </si>
  <si>
    <t>VR_M2_CONST</t>
  </si>
  <si>
    <t>VR_M2_TERRENO</t>
  </si>
  <si>
    <t>11001011000250034001</t>
  </si>
  <si>
    <t>110010110001700250034001000000</t>
  </si>
  <si>
    <t>154795678941</t>
  </si>
  <si>
    <t>vacio</t>
  </si>
  <si>
    <t>CL  78 # 70-22</t>
  </si>
  <si>
    <t>Vendo casa para remodelar o para construir proyecto. area de lote ciento ochenta y dos metros cuadrados. Esta rodeada por grandes vias de acceso, como las Avenidas calles setenta y dos, ochenta, Boyaca, carrera sesenta y ocho y Rojas. Cerca de centros comerciales, tiendas de cadena, parques, plaza de mercado y comercio en general. Sector comercial y residencial.</t>
  </si>
  <si>
    <t>Rafael Rodriguez</t>
  </si>
  <si>
    <t>ID_OFERTA_RURAL</t>
  </si>
  <si>
    <t>NOMBRE_VERERDA</t>
  </si>
  <si>
    <t>TIPO_INMUEBLES</t>
  </si>
  <si>
    <t>AREA_TERRENO</t>
  </si>
  <si>
    <t>AREA_CONSTRUCCION</t>
  </si>
  <si>
    <t>VR_Ha_TERRENO</t>
  </si>
  <si>
    <t>TIPO_CULTIVOS</t>
  </si>
  <si>
    <t>CONSTRUCCIONES_ANEXAS</t>
  </si>
  <si>
    <t>25320000020000000001</t>
  </si>
  <si>
    <t>253200002000000000000000000000</t>
  </si>
  <si>
    <t>123456789012</t>
  </si>
  <si>
    <t>La Cumbre</t>
  </si>
  <si>
    <t>Finca cafetera y ganadera</t>
  </si>
  <si>
    <t>Vereda La Cumbre 2km Escuela La Cumbre, Guaduas, Cundinamarca</t>
  </si>
  <si>
    <t>FINCA 8.5 Aproximado HECTAREAS CON BUENOS PASTOS (4 Hectáreas) , CAFE (1.5 Hectáreas) Y BOSQUES NATIVOS PARA SENDERISMO (1.0 Hectáreas),CON AGUA NACEDERO VERANERO, Oportunidad de acueducto veredal, CON COMPRA GARANTIZADA A PRECIO POR ENCIMA DEL PRECIO BASE EMITIDO POR LA FEDERACIÓN NACIONAL DE CAFETEROS. CASA RUSTICA PARA VIVIENDA. CULTIVO DE CAÑA Y PASTO DE CORTE, PRECIO NEGOCIABLE, SOLO SE RECIBE 50 % EN PERMUTA EN VIVIENDA ZONA META O GUADUAS. SIN INTERMEDIARIOS, CAMINO VEREDAL HASTA LA FINCA Carreteable, 3.5Km de la via Ppal, CLIMA TEMPLADO 18 a25 Grados C, ALTURA APROX 1720 MSNM.</t>
  </si>
  <si>
    <t>Cafe</t>
  </si>
  <si>
    <t>INSTRUCCIONES PARA DILIGENCIAR LOS FORMATOS DE ENTREGA DE DATOS AL OBSERVATORIO INMOBILIARIO NACIONAL</t>
  </si>
  <si>
    <t>OBSERVACIONES GENERALES</t>
  </si>
  <si>
    <t xml:space="preserve">El formato de entrega de datos al observatorio nacional debe ser diligenciado teniendo en cuenta el siguiente diccionario de datos en el cual se especifican cada una de las tablas o capas geograficas que deben ser entregadas por parte de los usuarios. </t>
  </si>
  <si>
    <r>
      <t xml:space="preserve">Los Usuarios al momento de reportar la información al Observatorio Nacional deben seguir la siguiente estructura:
</t>
    </r>
    <r>
      <rPr>
        <b/>
        <sz val="11"/>
        <color theme="1"/>
        <rFont val="Calibri"/>
        <family val="2"/>
        <scheme val="minor"/>
      </rPr>
      <t>NOTA: PARA LOS CAMPOS DE TIPO NUMERICO EN EL CUAL NO SE TENGA INFORMACIÓN SE DEBE DILIGENCIAR CON EL NUMERO CERO (0)</t>
    </r>
    <r>
      <rPr>
        <sz val="11"/>
        <color theme="1"/>
        <rFont val="Calibri"/>
        <family val="2"/>
        <scheme val="minor"/>
      </rPr>
      <t xml:space="preserve">
</t>
    </r>
    <r>
      <rPr>
        <b/>
        <sz val="11"/>
        <color theme="1"/>
        <rFont val="Calibri"/>
        <family val="2"/>
        <scheme val="minor"/>
      </rPr>
      <t xml:space="preserve">OPCIÓN 1 : </t>
    </r>
    <r>
      <rPr>
        <sz val="11"/>
        <color theme="1"/>
        <rFont val="Calibri"/>
        <family val="2"/>
        <scheme val="minor"/>
      </rPr>
      <t xml:space="preserve">Para esta opción el usuario debe suministrar la información de las 3 entidades en formato Excel(xlsm), teniendo en cuenta la estructura del diccionario de datos y el ejemplo de presentación de tablas para el observatorio nacional que puede ser descargado en la página web del observatorio
</t>
    </r>
    <r>
      <rPr>
        <b/>
        <sz val="11"/>
        <color theme="1"/>
        <rFont val="Calibri"/>
        <family val="2"/>
        <scheme val="minor"/>
      </rPr>
      <t xml:space="preserve">TABLAS </t>
    </r>
    <r>
      <rPr>
        <sz val="11"/>
        <color theme="1"/>
        <rFont val="Calibri"/>
        <family val="2"/>
        <scheme val="minor"/>
      </rPr>
      <t xml:space="preserve">
• Tabla Ofertas NPH: En esta tabla se almacena la informacion alfanumerica asociada a las ofertas. 
• Tabla Ofertas PH: En esta tabla se almacena la informacion alfanumerica asociada a las ofertas.
• Tabla Ofertas Rural: En esta tabla se almacena la informacion alfanumerica asociada a las ofertas.</t>
    </r>
  </si>
  <si>
    <t>En el diccionario de datos se debe tener en cuenta que  algunos campos son obligatorios, otros  son condicionales  otros opcionales para saber en que momento diligenciar dicho campo favor seguir las siguientes especificaciones.</t>
  </si>
  <si>
    <t>Obligatorio</t>
  </si>
  <si>
    <t xml:space="preserve">El campo tiene que estar diligenciado obligatoriamente. </t>
  </si>
  <si>
    <t>Condicional</t>
  </si>
  <si>
    <t>El campo se debe diligenciar o no teniendo en cuenta si la información aplica para los siguientes casos:
* Según la coherencia conceptual o lógica:
- Cuando el diligenciamiento del campo depende de lo que se haya diligenciado en otro campo.
- Por las relaciones entre una capa geográfica con otra capa geográfica o entre una capa geográfica y una tabla.
Ejemplos: Campos especificos para los predios bajo el regimen de propiedad Horizontal PH</t>
  </si>
  <si>
    <t>Opcional</t>
  </si>
  <si>
    <t xml:space="preserve">El campo puede estar diligenciado o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</si>
</sst>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quot;$&quot;* #,##0_-;\-&quot;$&quot;* #,##0_-;_-&quot;$&quot;* &quot;-&quot;_-;_-@_-"/>
    <numFmt numFmtId="165" formatCode="_ * #,##0.00_ ;_ * \-#,##0.00_ ;_ * &quot;-&quot;??_ ;_ @_ "/>
    <numFmt numFmtId="166" formatCode="_ &quot;$&quot;\ * #,##0.00_ ;_ &quot;$&quot;\ * \-#,##0.00_ ;_ &quot;$&quot;\ * &quot;-&quot;??_ ;_ @_ "/>
    <numFmt numFmtId="167" formatCode="_(&quot;$&quot;\ * #,##0_);_(&quot;$&quot;\ * \(#,##0\);_(&quot;$&quot;\ * &quot;-&quot;_);_(@_)"/>
    <numFmt numFmtId="168" formatCode="_(&quot;$&quot;\ * #,##0.00_);_(&quot;$&quot;\ * \(#,##0.00\);_(&quot;$&quot;\ * &quot;-&quot;??_);_(@_)"/>
    <numFmt numFmtId="169" formatCode="_-&quot;$&quot;* #,##0.00_-;\-&quot;$&quot;* #,##0.00_-;_-&quot;$&quot;* &quot;-&quot;??_-;_-@_-"/>
    <numFmt numFmtId="170" formatCode="_-* #,##0.00\ _€_-;\-* #,##0.00\ _€_-;_-* &quot;-&quot;??\ _€_-;_-@_-"/>
    <numFmt numFmtId="171" formatCode="_ * #,##0_ ;_ * \-#,##0_ ;_ * &quot;-&quot;_ ;_ @_ "/>
    <numFmt numFmtId="172" formatCode="&quot;$&quot;\ #,##0.00"/>
    <numFmt numFmtId="173" formatCode="_ [$€-2]\ * #,##0.00_ ;_ [$€-2]\ * \-#,##0.00_ ;_ [$€-2]\ * &quot;-&quot;??_ "/>
    <numFmt numFmtId="174" formatCode="&quot;$&quot;\ #,##0.00;[Red]&quot;$&quot;\ #,##0.00"/>
    <numFmt numFmtId="175" formatCode="0.000"/>
  </numFmts>
  <fonts count="31">
    <font>
      <sz val="11"/>
      <color theme="1"/>
      <name val="Calibri"/>
      <family val="2"/>
      <scheme val="minor"/>
    </font>
    <font>
      <sz val="11"/>
      <color theme="1"/>
      <name val="Calibri"/>
      <family val="2"/>
      <scheme val="minor"/>
    </font>
    <font>
      <b/>
      <sz val="11"/>
      <color theme="1"/>
      <name val="Calibri"/>
      <family val="2"/>
      <scheme val="minor"/>
    </font>
    <font>
      <sz val="11"/>
      <color theme="1"/>
      <name val="Swis721 LtEx BT"/>
      <family val="2"/>
    </font>
    <font>
      <sz val="10"/>
      <name val="Arial"/>
      <family val="2"/>
    </font>
    <font>
      <u/>
      <sz val="10"/>
      <color theme="10"/>
      <name val="Arial"/>
      <family val="2"/>
    </font>
    <font>
      <sz val="12"/>
      <name val="Arial"/>
      <family val="2"/>
    </font>
    <font>
      <sz val="11"/>
      <color indexed="8"/>
      <name val="Calibri"/>
      <family val="2"/>
    </font>
    <font>
      <b/>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sz val="10"/>
      <name val="Courier"/>
      <family val="3"/>
    </font>
    <font>
      <u/>
      <sz val="11"/>
      <color theme="10"/>
      <name val="Calibri"/>
      <family val="2"/>
      <scheme val="minor"/>
    </font>
    <font>
      <sz val="11"/>
      <color indexed="8"/>
      <name val="Arial"/>
      <family val="2"/>
    </font>
    <font>
      <sz val="10"/>
      <color indexed="8"/>
      <name val="Trebuchet MS"/>
      <family val="2"/>
    </font>
    <font>
      <sz val="11"/>
      <color theme="1"/>
      <name val="Calibri"/>
      <family val="2"/>
    </font>
    <font>
      <sz val="10"/>
      <color theme="1"/>
      <name val="Century Gothic"/>
      <family val="1"/>
    </font>
    <font>
      <sz val="8"/>
      <name val="Calibri"/>
      <family val="2"/>
      <scheme val="minor"/>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bottom style="thin">
        <color indexed="64"/>
      </bottom>
      <diagonal/>
    </border>
  </borders>
  <cellStyleXfs count="174">
    <xf numFmtId="0" fontId="0" fillId="0" borderId="0"/>
    <xf numFmtId="0" fontId="3" fillId="0" borderId="0"/>
    <xf numFmtId="0" fontId="4" fillId="0" borderId="0"/>
    <xf numFmtId="165" fontId="4" fillId="0" borderId="0" applyFont="0" applyFill="0" applyBorder="0" applyAlignment="0" applyProtection="0"/>
    <xf numFmtId="166"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NumberFormat="0" applyFill="0" applyBorder="0" applyAlignment="0" applyProtection="0"/>
    <xf numFmtId="164" fontId="4" fillId="0" borderId="0" applyFont="0" applyFill="0" applyBorder="0" applyAlignment="0" applyProtection="0"/>
    <xf numFmtId="41" fontId="4" fillId="0" borderId="0" applyFont="0" applyFill="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6" fillId="3" borderId="0" applyNumberFormat="0" applyBorder="0" applyAlignment="0" applyProtection="0"/>
    <xf numFmtId="0" fontId="10" fillId="4" borderId="0" applyNumberFormat="0" applyBorder="0" applyAlignment="0" applyProtection="0"/>
    <xf numFmtId="0" fontId="11" fillId="20" borderId="4" applyNumberFormat="0" applyAlignment="0" applyProtection="0"/>
    <xf numFmtId="0" fontId="11" fillId="20" borderId="4" applyNumberFormat="0" applyAlignment="0" applyProtection="0"/>
    <xf numFmtId="0" fontId="12" fillId="21" borderId="5" applyNumberFormat="0" applyAlignment="0" applyProtection="0"/>
    <xf numFmtId="0" fontId="13" fillId="0" borderId="6" applyNumberFormat="0" applyFill="0" applyAlignment="0" applyProtection="0"/>
    <xf numFmtId="0" fontId="12" fillId="21" borderId="5"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6" fillId="0" borderId="0" applyFont="0" applyFill="0" applyBorder="0" applyAlignment="0" applyProtection="0"/>
    <xf numFmtId="168" fontId="7"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14" fillId="0" borderId="0" applyNumberFormat="0" applyFill="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5" fillId="7" borderId="4" applyNumberFormat="0" applyAlignment="0" applyProtection="0"/>
    <xf numFmtId="173" fontId="4" fillId="0" borderId="0" applyFont="0" applyFill="0" applyBorder="0" applyAlignment="0" applyProtection="0"/>
    <xf numFmtId="173" fontId="4" fillId="0" borderId="0" applyFont="0" applyFill="0" applyBorder="0" applyAlignment="0" applyProtection="0"/>
    <xf numFmtId="0" fontId="20" fillId="0" borderId="0" applyNumberFormat="0" applyFill="0" applyBorder="0" applyAlignment="0" applyProtection="0"/>
    <xf numFmtId="0" fontId="10" fillId="4" borderId="0" applyNumberFormat="0" applyBorder="0" applyAlignment="0" applyProtection="0"/>
    <xf numFmtId="0" fontId="22" fillId="0" borderId="7" applyNumberFormat="0" applyFill="0" applyAlignment="0" applyProtection="0"/>
    <xf numFmtId="0" fontId="23" fillId="0" borderId="8" applyNumberFormat="0" applyFill="0" applyAlignment="0" applyProtection="0"/>
    <xf numFmtId="0" fontId="14" fillId="0" borderId="9" applyNumberFormat="0" applyFill="0" applyAlignment="0" applyProtection="0"/>
    <xf numFmtId="0" fontId="14" fillId="0" borderId="0" applyNumberFormat="0" applyFill="0" applyBorder="0" applyAlignment="0" applyProtection="0"/>
    <xf numFmtId="0" fontId="16" fillId="3" borderId="0" applyNumberFormat="0" applyBorder="0" applyAlignment="0" applyProtection="0"/>
    <xf numFmtId="0" fontId="15" fillId="7" borderId="4" applyNumberFormat="0" applyAlignment="0" applyProtection="0"/>
    <xf numFmtId="0" fontId="13" fillId="0" borderId="6"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43" fontId="7" fillId="0" borderId="0" applyFont="0" applyFill="0" applyBorder="0" applyAlignment="0" applyProtection="0"/>
    <xf numFmtId="170" fontId="4" fillId="0" borderId="0" applyFont="0" applyFill="0" applyBorder="0" applyAlignment="0" applyProtection="0"/>
    <xf numFmtId="0" fontId="7" fillId="22" borderId="0" applyNumberFormat="0" applyBorder="0" applyAlignment="0" applyProtection="0"/>
    <xf numFmtId="43" fontId="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8" fontId="7"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1" fillId="0" borderId="0" applyFont="0" applyFill="0" applyBorder="0" applyAlignment="0" applyProtection="0"/>
    <xf numFmtId="166" fontId="4" fillId="0" borderId="0" applyFont="0" applyFill="0" applyBorder="0" applyAlignment="0" applyProtection="0"/>
    <xf numFmtId="174" fontId="4" fillId="0" borderId="0" applyFont="0" applyFill="0" applyBorder="0" applyAlignment="0" applyProtection="0"/>
    <xf numFmtId="166" fontId="4" fillId="0" borderId="0" applyFont="0" applyFill="0" applyBorder="0" applyAlignment="0" applyProtection="0"/>
    <xf numFmtId="168" fontId="7" fillId="0" borderId="0" applyFont="0" applyFill="0" applyBorder="0" applyAlignment="0" applyProtection="0"/>
    <xf numFmtId="0" fontId="17" fillId="23" borderId="0" applyNumberFormat="0" applyBorder="0" applyAlignment="0" applyProtection="0"/>
    <xf numFmtId="0" fontId="24" fillId="0" borderId="0"/>
    <xf numFmtId="0" fontId="7" fillId="0" borderId="0"/>
    <xf numFmtId="0" fontId="4" fillId="0" borderId="0"/>
    <xf numFmtId="0" fontId="4" fillId="0" borderId="0"/>
    <xf numFmtId="0" fontId="4" fillId="0" borderId="0"/>
    <xf numFmtId="0" fontId="7" fillId="0" borderId="0"/>
    <xf numFmtId="0" fontId="4" fillId="0" borderId="0"/>
    <xf numFmtId="171" fontId="6" fillId="0" borderId="0"/>
    <xf numFmtId="0" fontId="6" fillId="0" borderId="0"/>
    <xf numFmtId="0" fontId="7" fillId="0" borderId="0"/>
    <xf numFmtId="0" fontId="4" fillId="0" borderId="0" applyFill="0"/>
    <xf numFmtId="0" fontId="1" fillId="0" borderId="0"/>
    <xf numFmtId="0" fontId="4" fillId="24" borderId="10" applyNumberFormat="0" applyFont="0" applyAlignment="0" applyProtection="0"/>
    <xf numFmtId="0" fontId="4" fillId="24" borderId="10" applyNumberFormat="0" applyFont="0" applyAlignment="0" applyProtection="0"/>
    <xf numFmtId="0" fontId="4" fillId="24" borderId="10" applyNumberFormat="0" applyFont="0" applyAlignment="0" applyProtection="0"/>
    <xf numFmtId="0" fontId="4" fillId="24" borderId="10" applyNumberFormat="0" applyFont="0" applyAlignment="0" applyProtection="0"/>
    <xf numFmtId="0" fontId="4" fillId="24" borderId="10" applyNumberFormat="0" applyFont="0" applyAlignment="0" applyProtection="0"/>
    <xf numFmtId="0" fontId="18" fillId="20" borderId="11" applyNumberFormat="0" applyAlignment="0" applyProtection="0"/>
    <xf numFmtId="9" fontId="4"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8" fillId="20" borderId="11"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7" applyNumberFormat="0" applyFill="0" applyAlignment="0" applyProtection="0"/>
    <xf numFmtId="0" fontId="23" fillId="0" borderId="8" applyNumberFormat="0" applyFill="0" applyAlignment="0" applyProtection="0"/>
    <xf numFmtId="0" fontId="14" fillId="0" borderId="9" applyNumberFormat="0" applyFill="0" applyAlignment="0" applyProtection="0"/>
    <xf numFmtId="0" fontId="21" fillId="0" borderId="0" applyNumberFormat="0" applyFill="0" applyBorder="0" applyAlignment="0" applyProtection="0"/>
    <xf numFmtId="0" fontId="8" fillId="0" borderId="12" applyNumberFormat="0" applyFill="0" applyAlignment="0" applyProtection="0"/>
    <xf numFmtId="0" fontId="19" fillId="0" borderId="0" applyNumberFormat="0" applyFill="0" applyBorder="0" applyAlignment="0" applyProtection="0"/>
    <xf numFmtId="41" fontId="1" fillId="0" borderId="0" applyFont="0" applyFill="0" applyBorder="0" applyAlignment="0" applyProtection="0"/>
    <xf numFmtId="0" fontId="25" fillId="0" borderId="0" applyNumberFormat="0" applyFill="0" applyBorder="0" applyAlignment="0" applyProtection="0"/>
    <xf numFmtId="16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44" fontId="1" fillId="0" borderId="0" applyFont="0" applyFill="0" applyBorder="0" applyAlignment="0" applyProtection="0"/>
    <xf numFmtId="168" fontId="1" fillId="0" borderId="0" applyFont="0" applyFill="0" applyBorder="0" applyAlignment="0" applyProtection="0"/>
    <xf numFmtId="0" fontId="26" fillId="0" borderId="0"/>
    <xf numFmtId="41" fontId="26" fillId="0" borderId="0" applyFont="0" applyFill="0" applyBorder="0" applyAlignment="0" applyProtection="0"/>
    <xf numFmtId="9" fontId="26" fillId="0" borderId="0" applyFont="0" applyFill="0" applyBorder="0" applyAlignment="0" applyProtection="0"/>
    <xf numFmtId="4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2" fontId="26" fillId="0" borderId="0" applyFont="0" applyFill="0" applyBorder="0" applyAlignment="0" applyProtection="0"/>
  </cellStyleXfs>
  <cellXfs count="34">
    <xf numFmtId="0" fontId="0" fillId="0" borderId="0" xfId="0"/>
    <xf numFmtId="0" fontId="27" fillId="26" borderId="13" xfId="0" applyFont="1" applyFill="1" applyBorder="1" applyAlignment="1">
      <alignment horizontal="center" vertical="center" wrapText="1"/>
    </xf>
    <xf numFmtId="0" fontId="27" fillId="26" borderId="13" xfId="0" applyFont="1" applyFill="1" applyBorder="1" applyAlignment="1">
      <alignment horizontal="left" vertical="center" wrapText="1"/>
    </xf>
    <xf numFmtId="0" fontId="27" fillId="25" borderId="13" xfId="0" applyFont="1" applyFill="1" applyBorder="1" applyAlignment="1">
      <alignment horizontal="center" vertical="center" wrapText="1"/>
    </xf>
    <xf numFmtId="0" fontId="27" fillId="25" borderId="13" xfId="0" applyFont="1" applyFill="1" applyBorder="1" applyAlignment="1">
      <alignment horizontal="left" vertical="center" wrapText="1"/>
    </xf>
    <xf numFmtId="0" fontId="27" fillId="27" borderId="13" xfId="0" applyFont="1" applyFill="1" applyBorder="1" applyAlignment="1">
      <alignment horizontal="center" vertical="center" wrapText="1"/>
    </xf>
    <xf numFmtId="0" fontId="27" fillId="27" borderId="13" xfId="0" applyFont="1" applyFill="1" applyBorder="1" applyAlignment="1">
      <alignment horizontal="left" vertical="center" wrapText="1"/>
    </xf>
    <xf numFmtId="0" fontId="25" fillId="0" borderId="0" xfId="156"/>
    <xf numFmtId="0" fontId="0" fillId="0" borderId="1" xfId="0" applyBorder="1"/>
    <xf numFmtId="0" fontId="27" fillId="26" borderId="14" xfId="0" applyFont="1" applyFill="1" applyBorder="1" applyAlignment="1">
      <alignment horizontal="center" vertical="center" wrapText="1"/>
    </xf>
    <xf numFmtId="0" fontId="27" fillId="25" borderId="14" xfId="0" applyFont="1" applyFill="1" applyBorder="1" applyAlignment="1">
      <alignment horizontal="center" vertical="center" wrapText="1"/>
    </xf>
    <xf numFmtId="0" fontId="27" fillId="27" borderId="14" xfId="0" applyFont="1" applyFill="1" applyBorder="1" applyAlignment="1">
      <alignment horizontal="center" vertical="center" wrapText="1"/>
    </xf>
    <xf numFmtId="0" fontId="0" fillId="0" borderId="1" xfId="0" applyBorder="1" applyAlignment="1">
      <alignment horizontal="center" vertical="center"/>
    </xf>
    <xf numFmtId="0" fontId="29" fillId="0" borderId="1" xfId="1"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49" fontId="0" fillId="0" borderId="0" xfId="0" applyNumberFormat="1"/>
    <xf numFmtId="49" fontId="0" fillId="0" borderId="0" xfId="0" applyNumberFormat="1" applyAlignment="1">
      <alignment horizontal="center" vertical="center"/>
    </xf>
    <xf numFmtId="49" fontId="0" fillId="0" borderId="1" xfId="0" applyNumberFormat="1" applyBorder="1" applyAlignment="1">
      <alignment horizontal="center" vertical="center"/>
    </xf>
    <xf numFmtId="49" fontId="27" fillId="26" borderId="13" xfId="0" applyNumberFormat="1" applyFont="1" applyFill="1" applyBorder="1" applyAlignment="1">
      <alignment horizontal="center" vertical="center" wrapText="1"/>
    </xf>
    <xf numFmtId="49" fontId="0" fillId="0" borderId="1" xfId="0" applyNumberFormat="1" applyBorder="1"/>
    <xf numFmtId="49" fontId="28" fillId="0" borderId="1" xfId="0" applyNumberFormat="1" applyFont="1" applyBorder="1" applyAlignment="1">
      <alignment horizontal="center" vertical="center"/>
    </xf>
    <xf numFmtId="49" fontId="27" fillId="0" borderId="13" xfId="0" applyNumberFormat="1" applyFont="1" applyBorder="1" applyAlignment="1">
      <alignment horizontal="center" vertical="center" wrapText="1"/>
    </xf>
    <xf numFmtId="49" fontId="27" fillId="0" borderId="14" xfId="0" applyNumberFormat="1" applyFont="1" applyBorder="1" applyAlignment="1">
      <alignment horizontal="center" vertical="center" wrapText="1"/>
    </xf>
    <xf numFmtId="49" fontId="0" fillId="0" borderId="15" xfId="0" applyNumberFormat="1" applyBorder="1" applyAlignment="1">
      <alignment horizontal="center" vertical="center"/>
    </xf>
    <xf numFmtId="0" fontId="0" fillId="0" borderId="15" xfId="0" applyBorder="1" applyAlignment="1">
      <alignment horizontal="center" vertical="center"/>
    </xf>
    <xf numFmtId="0" fontId="27" fillId="0" borderId="13" xfId="0" applyFont="1" applyBorder="1" applyAlignment="1">
      <alignment horizontal="center" vertical="center" wrapText="1"/>
    </xf>
    <xf numFmtId="0" fontId="27" fillId="0" borderId="14" xfId="0" applyFont="1" applyBorder="1" applyAlignment="1">
      <alignment horizontal="center" vertical="center" wrapText="1"/>
    </xf>
    <xf numFmtId="49" fontId="27" fillId="26" borderId="14" xfId="0" applyNumberFormat="1" applyFont="1" applyFill="1" applyBorder="1" applyAlignment="1">
      <alignment horizontal="center" vertical="center" wrapText="1"/>
    </xf>
    <xf numFmtId="175" fontId="0" fillId="0" borderId="1" xfId="0" applyNumberFormat="1" applyBorder="1" applyAlignment="1">
      <alignment horizontal="center" vertical="center"/>
    </xf>
    <xf numFmtId="0" fontId="2" fillId="0" borderId="1" xfId="0" applyFont="1" applyBorder="1" applyAlignment="1">
      <alignment horizontal="center"/>
    </xf>
    <xf numFmtId="0" fontId="0" fillId="0" borderId="1"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cellXfs>
  <cellStyles count="174">
    <cellStyle name="20% - Accent1" xfId="10" xr:uid="{66CC3F87-E3D3-44D9-9D9C-2761AEA4FFE8}"/>
    <cellStyle name="20% - Accent2" xfId="11" xr:uid="{D30ED430-92E9-473A-8D0F-BDE47AEB7278}"/>
    <cellStyle name="20% - Accent3" xfId="12" xr:uid="{5832C801-3B7E-4DE5-9290-0C325A557248}"/>
    <cellStyle name="20% - Accent4" xfId="13" xr:uid="{4D5A4DF1-C62F-44BD-8AAC-BF925070F5B9}"/>
    <cellStyle name="20% - Accent5" xfId="14" xr:uid="{5238AC62-8DFF-4B67-8EC6-526035F4F283}"/>
    <cellStyle name="20% - Accent6" xfId="15" xr:uid="{08B1BF70-429B-4689-BFD7-744EC06EC030}"/>
    <cellStyle name="20% - Énfasis1 2" xfId="16" xr:uid="{53A7EF22-A88C-4C5A-A5B6-B2D2B7CF9F89}"/>
    <cellStyle name="20% - Énfasis2 2" xfId="17" xr:uid="{6C7D5CF9-EF27-4F0F-B028-4E6D466CDDE1}"/>
    <cellStyle name="20% - Énfasis3 2" xfId="18" xr:uid="{CD8905B6-D1CE-4835-B465-20CF59B073B7}"/>
    <cellStyle name="20% - Énfasis4 2" xfId="19" xr:uid="{C294ACCB-F9FD-4C51-BEF5-5E6F48BBE577}"/>
    <cellStyle name="20% - Énfasis5 2" xfId="20" xr:uid="{B39A0D8E-9090-4BDF-B922-4B347EB0480A}"/>
    <cellStyle name="20% - Énfasis6 2" xfId="21" xr:uid="{394FEB9F-C026-4D6B-96DA-AF9DF5AEC135}"/>
    <cellStyle name="40% - Accent1" xfId="22" xr:uid="{4C6A6D5F-4483-49AD-9C0E-11CE09955992}"/>
    <cellStyle name="40% - Accent2" xfId="23" xr:uid="{5A01C958-529D-4B00-90D9-EDA7B9C5409F}"/>
    <cellStyle name="40% - Accent3" xfId="24" xr:uid="{4F7B65A4-DB52-43BB-98DF-A0527A69FC02}"/>
    <cellStyle name="40% - Accent4" xfId="25" xr:uid="{9880F23C-0572-41B8-A50B-07865C90E4D3}"/>
    <cellStyle name="40% - Accent5" xfId="26" xr:uid="{8FE0D57A-C35C-4A26-BAE9-F025EC300394}"/>
    <cellStyle name="40% - Accent6" xfId="27" xr:uid="{277A6262-7B0C-4585-A333-98D0CEBAC480}"/>
    <cellStyle name="40% - Énfasis1 2" xfId="28" xr:uid="{A04D23C7-159B-49CF-8B90-67892BA4FF5B}"/>
    <cellStyle name="40% - Énfasis2 2" xfId="29" xr:uid="{6557A6D7-5E96-4CEB-8AA0-0F483CB03C77}"/>
    <cellStyle name="40% - Énfasis3 2" xfId="30" xr:uid="{F4A62069-E3FD-4915-94D8-F8B151725EE7}"/>
    <cellStyle name="40% - Énfasis4 2" xfId="31" xr:uid="{F6350645-0185-4130-BED5-B31FA41BDA90}"/>
    <cellStyle name="40% - Énfasis5 2" xfId="32" xr:uid="{891851CC-7D9D-47EC-B717-1F1B0C0FE80E}"/>
    <cellStyle name="40% - Énfasis6 2" xfId="33" xr:uid="{F795E7A7-0581-484E-BB8A-405F306EC403}"/>
    <cellStyle name="60% - Accent1" xfId="34" xr:uid="{FC33BE7A-1670-4688-9357-7D043FB6DBFF}"/>
    <cellStyle name="60% - Accent2" xfId="35" xr:uid="{30ED257F-7D51-440F-8053-C06E8BCDB273}"/>
    <cellStyle name="60% - Accent3" xfId="36" xr:uid="{9846A4E2-98D9-4179-9639-FCF1100B11ED}"/>
    <cellStyle name="60% - Accent4" xfId="37" xr:uid="{55229C05-94E3-4137-B0D5-66758632040F}"/>
    <cellStyle name="60% - Accent5" xfId="38" xr:uid="{82AF46D3-0442-4D7F-9337-00B4576373A6}"/>
    <cellStyle name="60% - Accent6" xfId="39" xr:uid="{A2BE916E-475C-48E4-A952-47A06E4B738E}"/>
    <cellStyle name="60% - Énfasis1 2" xfId="40" xr:uid="{1FFF7A4C-78F1-4B56-B35A-AE3D8FE2B956}"/>
    <cellStyle name="60% - Énfasis2 2" xfId="41" xr:uid="{F5A5095F-EF4B-4FB6-BC8F-C3078EE60E1B}"/>
    <cellStyle name="60% - Énfasis3 2" xfId="42" xr:uid="{A705B940-89CD-4633-BCD5-438A3F262AA5}"/>
    <cellStyle name="60% - Énfasis4 2" xfId="43" xr:uid="{810768FE-34AB-4FE8-BA82-686E7F2D4352}"/>
    <cellStyle name="60% - Énfasis5 2" xfId="44" xr:uid="{ECAF40AC-EDC8-4D5C-953F-4457D68EDE92}"/>
    <cellStyle name="60% - Énfasis6 2" xfId="45" xr:uid="{49D93D88-2B0B-4831-9B3E-D9AE9165757C}"/>
    <cellStyle name="Accent1" xfId="46" xr:uid="{F6929C44-6E09-4DBC-AA24-7454CD233427}"/>
    <cellStyle name="Accent2" xfId="47" xr:uid="{68129927-1939-4CAB-A0E0-8DB74220CCE0}"/>
    <cellStyle name="Accent3" xfId="48" xr:uid="{50C466CB-3743-4DB2-82EB-6AF427BB49F8}"/>
    <cellStyle name="Accent4" xfId="49" xr:uid="{4A54EAA3-AA0D-4FB0-A5F2-2F466ADBE2FA}"/>
    <cellStyle name="Accent5" xfId="50" xr:uid="{7A7F269F-3E47-48F3-97DB-34594B447BC2}"/>
    <cellStyle name="Accent6" xfId="51" xr:uid="{5FEAAD54-08D1-409B-BF21-058153D2DA4F}"/>
    <cellStyle name="Bad" xfId="52" xr:uid="{D28C0DC6-79B9-4B6C-A067-2546A2CBF684}"/>
    <cellStyle name="Buena 2" xfId="53" xr:uid="{12F08933-CF34-4762-BCA0-90FE7A7F6037}"/>
    <cellStyle name="Calculation" xfId="54" xr:uid="{D88D1340-DE31-46FD-A05F-5913D4E11127}"/>
    <cellStyle name="Cálculo 2" xfId="55" xr:uid="{4E3FA6E1-5B2A-4877-8F24-46729A868A17}"/>
    <cellStyle name="Celda de comprobación 2" xfId="56" xr:uid="{4CDF2055-3829-4069-A413-F598999376CA}"/>
    <cellStyle name="Celda vinculada 2" xfId="57" xr:uid="{9C2ED145-1568-4AB8-AC67-3C524BEA442B}"/>
    <cellStyle name="Check Cell" xfId="58" xr:uid="{B593F533-2A39-4E70-9CC9-EF66CEA60340}"/>
    <cellStyle name="Comma 2" xfId="59" xr:uid="{25282435-6D5B-4140-AC49-97C2F701788F}"/>
    <cellStyle name="Comma 2 2" xfId="60" xr:uid="{93EA482E-C94E-4303-9E68-8FABC39C3584}"/>
    <cellStyle name="Comma 3" xfId="61" xr:uid="{F5EC59A6-D92F-41D7-A614-9329BDE08A52}"/>
    <cellStyle name="Comma 4" xfId="62" xr:uid="{A32EF032-3BF0-4887-8557-21FB190AF88C}"/>
    <cellStyle name="Comma 4 2" xfId="63" xr:uid="{1441EF26-80BD-4476-9B4F-4851B32CB38B}"/>
    <cellStyle name="Currency 2" xfId="64" xr:uid="{89580B99-4DB2-4DCF-A893-84B131DE863E}"/>
    <cellStyle name="Currency 2 2" xfId="65" xr:uid="{6862AB0F-545C-4D25-9A10-537BF1E11C10}"/>
    <cellStyle name="Currency 3" xfId="66" xr:uid="{9793C7C3-ED63-44E0-B9F1-8F17A4D8DFC9}"/>
    <cellStyle name="Currency 4" xfId="67" xr:uid="{80088143-78CD-4DEC-AEB1-851E38C62F0B}"/>
    <cellStyle name="Currency 47" xfId="68" xr:uid="{56AA836B-F059-4EAF-993A-0950B8ED73A6}"/>
    <cellStyle name="Currency 48" xfId="69" xr:uid="{0EDBF204-F74B-48D4-AF85-9E6119090E39}"/>
    <cellStyle name="Currency 5" xfId="70" xr:uid="{FD6CFE3F-8D0A-4207-87CB-0AC0410FAEA2}"/>
    <cellStyle name="Currency 5 2" xfId="71" xr:uid="{BA185F2C-88CD-4F5D-A4E1-777E7C2BF629}"/>
    <cellStyle name="Encabezado 4 2" xfId="72" xr:uid="{FB7F7D13-5941-4127-BBA4-C8D5F11ECAE0}"/>
    <cellStyle name="Énfasis1 2" xfId="73" xr:uid="{859073EF-A6AA-4C47-9C3D-2A7CE78C947C}"/>
    <cellStyle name="Énfasis2 2" xfId="74" xr:uid="{9078B32F-C155-447B-9FEB-4EA240D2AA3A}"/>
    <cellStyle name="Énfasis3 2" xfId="75" xr:uid="{AD6830FD-DB1F-4207-AB18-7A53384379F2}"/>
    <cellStyle name="Énfasis4 2" xfId="76" xr:uid="{E8B52A42-DCD9-482B-9C4E-7449AE4B6201}"/>
    <cellStyle name="Énfasis5 2" xfId="77" xr:uid="{8A7C39B8-D286-4801-B501-6CF0EBFC4F1A}"/>
    <cellStyle name="Énfasis6 2" xfId="78" xr:uid="{7C28E963-393A-4BF6-85B4-9F25CDB36D02}"/>
    <cellStyle name="Entrada 2" xfId="79" xr:uid="{D6C715D3-8366-460E-A696-E63C95463DA1}"/>
    <cellStyle name="Euro" xfId="80" xr:uid="{1E84A59D-1083-4B6E-93BA-B36E2FD2157B}"/>
    <cellStyle name="Euro 2" xfId="81" xr:uid="{58133182-7F2E-4FEC-938B-EBD3AD7F6C37}"/>
    <cellStyle name="Explanatory Text" xfId="82" xr:uid="{79CB158E-CE16-4465-8F73-2FFAA6B370C4}"/>
    <cellStyle name="Good" xfId="83" xr:uid="{907826BC-5D6B-4C20-9484-59E380D0C163}"/>
    <cellStyle name="Heading 1" xfId="84" xr:uid="{5AB9DEA5-3DC8-448C-B9F8-045DF9FC6943}"/>
    <cellStyle name="Heading 2" xfId="85" xr:uid="{6CAAA471-A847-4956-B6F2-F1B66EE7AE12}"/>
    <cellStyle name="Heading 3" xfId="86" xr:uid="{FF35CFF0-BA53-4FB5-A429-697A5593F904}"/>
    <cellStyle name="Heading 4" xfId="87" xr:uid="{604A9B68-26AA-42E4-BD59-74F275BDF938}"/>
    <cellStyle name="Hipervínculo 2" xfId="7" xr:uid="{358A1CFB-C237-483B-8D91-F62099577D0A}"/>
    <cellStyle name="Hyperlink" xfId="156" builtinId="8"/>
    <cellStyle name="Incorrecto 2" xfId="88" xr:uid="{A05BC124-AD58-4AF9-861D-B4ADC676969B}"/>
    <cellStyle name="Input" xfId="89" xr:uid="{472C1F0D-8989-4A01-991A-5FE66FF8D32E}"/>
    <cellStyle name="Linked Cell" xfId="90" xr:uid="{6DA3D4A1-0660-4453-B217-178166A06AA9}"/>
    <cellStyle name="Millares [0] 2" xfId="9" xr:uid="{049430D5-4000-4171-9B63-14A8E1F78063}"/>
    <cellStyle name="Millares [0] 2 2" xfId="167" xr:uid="{9B8894B6-BC97-4164-AEB0-DB86FC3D71AD}"/>
    <cellStyle name="Millares [0] 3" xfId="155" xr:uid="{F85B1D91-D4A8-4112-AC4F-429F4FBD44C2}"/>
    <cellStyle name="Millares 10" xfId="91" xr:uid="{2E7A375F-EBB1-4917-8E7B-E268F35441D5}"/>
    <cellStyle name="Millares 11" xfId="92" xr:uid="{8851F8BA-0298-41FF-9DE5-0E0DB7CECC5A}"/>
    <cellStyle name="Millares 12" xfId="170" xr:uid="{2CF2CB59-C30B-4B24-B57B-834A03F0E558}"/>
    <cellStyle name="Millares 2" xfId="3" xr:uid="{C1B83B2E-41F6-40C9-918F-004D0044E8EB}"/>
    <cellStyle name="Millares 2 2" xfId="94" xr:uid="{1E9A0426-72AD-47E2-A0A6-278168980381}"/>
    <cellStyle name="Millares 2 3" xfId="161" xr:uid="{73C03A0B-2BD6-4FB1-BE22-01C7C699CA04}"/>
    <cellStyle name="Millares 2 4" xfId="171" xr:uid="{424FE9B0-622D-4932-ACD6-F3B5E62B6F75}"/>
    <cellStyle name="Millares 2 5" xfId="93" xr:uid="{B78FD49D-ED55-4133-B62F-AC972B438BED}"/>
    <cellStyle name="Millares 2_4.  ESTAD EJES COMPARTIDOS SAG CORAZON  Y SAMPER PTI TEUSAQUILLO" xfId="95" xr:uid="{180C5021-FF21-446F-BC98-2CA36266C4FD}"/>
    <cellStyle name="Millares 3" xfId="96" xr:uid="{3A7E8C83-43C9-49D9-932E-4C16385A6089}"/>
    <cellStyle name="Millares 4" xfId="97" xr:uid="{14A64855-DD59-4B27-8B4C-28033360B149}"/>
    <cellStyle name="Millares 4 2" xfId="98" xr:uid="{B548EB22-4F1E-44F9-814E-D4EFF6490A38}"/>
    <cellStyle name="Millares 4 2 2" xfId="99" xr:uid="{B86A5359-1BAC-4AB2-AD3B-043013B593D7}"/>
    <cellStyle name="Millares 4_EJERCICIO MAKRO" xfId="100" xr:uid="{DBD0B102-17C6-47D6-910C-9E7409D11187}"/>
    <cellStyle name="Millares 5" xfId="101" xr:uid="{8A60F899-7D2E-4EED-99EB-BFAFD32B371C}"/>
    <cellStyle name="Millares 6" xfId="102" xr:uid="{9A0233B6-8EBD-4E75-9B2C-D15EC7656EC9}"/>
    <cellStyle name="Millares 6 2" xfId="103" xr:uid="{85DAF468-88A3-4D41-80BA-49006CBC47F5}"/>
    <cellStyle name="Millares 7" xfId="104" xr:uid="{3A13AA5D-D1D2-4A24-85F9-39CF151C8D4D}"/>
    <cellStyle name="Millares 8" xfId="105" xr:uid="{7CD4CDCF-FCDC-4ECD-B19D-C4424E461E35}"/>
    <cellStyle name="Millares 9" xfId="106" xr:uid="{042B086D-9128-431E-AB4F-2D2FF0394DCE}"/>
    <cellStyle name="Moneda [0] 2" xfId="8" xr:uid="{F50938D4-EAFE-4A3D-83B6-0E45E2D9B5E0}"/>
    <cellStyle name="Moneda [0] 2 2" xfId="162" xr:uid="{20EAD764-0810-4F09-BDC1-D61446138906}"/>
    <cellStyle name="Moneda [0] 2 3" xfId="172" xr:uid="{1EE180CC-3172-4563-8741-42DD8F85B912}"/>
    <cellStyle name="Moneda [0] 2 4" xfId="158" xr:uid="{025C5F06-93CD-40E6-9365-95E5D3C2D9FC}"/>
    <cellStyle name="Moneda [0] 3" xfId="173" xr:uid="{D3DB0448-2557-43A0-BE5F-A593CD499085}"/>
    <cellStyle name="Moneda [0] 4" xfId="157" xr:uid="{96720175-ACA5-47FB-BCF8-42F7536E15D0}"/>
    <cellStyle name="Moneda 10" xfId="107" xr:uid="{7C8ECF15-57D2-4C92-97CB-C7DBC380BE80}"/>
    <cellStyle name="Moneda 2" xfId="4" xr:uid="{F70FF045-085B-4C86-86BD-EF44C90FB0E4}"/>
    <cellStyle name="Moneda 2 2" xfId="109" xr:uid="{D8B3BAD0-A6B4-4FE5-9F76-D432E9AD16E4}"/>
    <cellStyle name="Moneda 2 2 2" xfId="110" xr:uid="{6D804328-811E-42BF-94C0-67B246153EF5}"/>
    <cellStyle name="Moneda 2 3" xfId="160" xr:uid="{969B32F4-B1DA-4D80-8507-03770A79F228}"/>
    <cellStyle name="Moneda 2 4" xfId="108" xr:uid="{492CC763-35BB-48C1-B125-D1B2D144408E}"/>
    <cellStyle name="Moneda 3" xfId="111" xr:uid="{9C214440-83E6-4BBE-9EEB-A4A19B504F93}"/>
    <cellStyle name="Moneda 4" xfId="112" xr:uid="{64268E04-41D8-406C-8012-ED0E1A37BBB1}"/>
    <cellStyle name="Moneda 4 2" xfId="113" xr:uid="{671B7A5B-AA95-4DF2-A7E4-16C5740A0BA7}"/>
    <cellStyle name="Moneda 5" xfId="114" xr:uid="{66E87793-3521-4B6F-ACD4-2F63315C2C32}"/>
    <cellStyle name="Moneda 5 2" xfId="165" xr:uid="{DDF0F84E-7E7A-48F7-92AE-B80B425EDAEA}"/>
    <cellStyle name="Moneda 6" xfId="115" xr:uid="{751690B5-D090-46DB-8DE3-93B378DF5635}"/>
    <cellStyle name="Moneda 7" xfId="169" xr:uid="{3E718252-9266-423F-ABD4-6C1195B88ED3}"/>
    <cellStyle name="Moneda 8" xfId="164" xr:uid="{8C187BA2-94D6-4B1E-8542-95BC2F854F98}"/>
    <cellStyle name="Neutral 2" xfId="116" xr:uid="{F17F57D8-E274-4FC6-9616-0A6F8D5353B5}"/>
    <cellStyle name="No-definido" xfId="117" xr:uid="{D15C3E05-FFAC-4DA5-A5C7-C00B6E85246A}"/>
    <cellStyle name="Normal" xfId="0" builtinId="0"/>
    <cellStyle name="Normal 10" xfId="118" xr:uid="{6C1DFCE8-C1F0-4C05-886D-85C3704E272B}"/>
    <cellStyle name="Normal 19" xfId="119" xr:uid="{117955AF-D922-483A-A127-C62FC493F0E7}"/>
    <cellStyle name="Normal 2" xfId="2" xr:uid="{B38D4C1F-CE2E-43D0-8619-31BEC617CBAD}"/>
    <cellStyle name="Normal 2 2" xfId="120" xr:uid="{0BE9393A-147F-46A5-ADBE-0DDB89E23449}"/>
    <cellStyle name="Normal 2 3" xfId="1" xr:uid="{F9E0F5DB-20B9-4A03-8E49-4D90C32BE8B9}"/>
    <cellStyle name="Normal 2 3 2" xfId="163" xr:uid="{08C991DF-503C-4951-B345-A757DDE31BC2}"/>
    <cellStyle name="Normal 2_Acta comite" xfId="121" xr:uid="{454480B2-5C39-4D09-AE00-B6DE6673887B}"/>
    <cellStyle name="Normal 3" xfId="6" xr:uid="{AD301376-6917-47D5-981B-8A61F1D994DA}"/>
    <cellStyle name="Normal 3 2" xfId="123" xr:uid="{B2E36DB5-EDAD-410A-A548-06D76BE1779C}"/>
    <cellStyle name="Normal 3 3" xfId="122" xr:uid="{3F807736-A09C-4D3F-81B3-836836D155B6}"/>
    <cellStyle name="Normal 3_Desarrollo_TD_CHAPINERO (3)" xfId="124" xr:uid="{CAB78D16-C00E-4DAC-85B7-B1F0AA64F483}"/>
    <cellStyle name="Normal 4" xfId="125" xr:uid="{ABB68D3F-8EA8-4C43-B6BE-357CB36CF019}"/>
    <cellStyle name="Normal 5" xfId="126" xr:uid="{D9C13537-6687-489D-A321-2C3A6F8B815F}"/>
    <cellStyle name="Normal 6" xfId="127" xr:uid="{07E4A80D-6743-40E7-9348-7EE954BBD1D8}"/>
    <cellStyle name="Normal 7" xfId="166" xr:uid="{15279779-2822-4CE3-B5DD-CAEF90B9AACD}"/>
    <cellStyle name="Normal 8" xfId="128" xr:uid="{1D985F27-ED05-4B49-ADD2-38F6305C8D23}"/>
    <cellStyle name="Notas 2" xfId="129" xr:uid="{FD0AE4EB-DF61-402E-8A86-A2569419C74E}"/>
    <cellStyle name="Notas 2 2" xfId="130" xr:uid="{5EF38AF6-06EF-4B59-8010-24C9F30D1BE0}"/>
    <cellStyle name="Notas 3" xfId="131" xr:uid="{1A3F797F-F9EC-43AE-96DB-96A4C42225EB}"/>
    <cellStyle name="Note" xfId="132" xr:uid="{C1C456F2-CDF9-4DD2-BF68-DF4AD9E9F395}"/>
    <cellStyle name="Note 2" xfId="133" xr:uid="{84AF680C-4623-4BC5-93CD-C941285FF901}"/>
    <cellStyle name="Output" xfId="134" xr:uid="{F8B98297-86CB-4F27-AFE8-315DCD8FBB37}"/>
    <cellStyle name="Percent 2" xfId="135" xr:uid="{8849A54F-A350-42F3-920C-D7A2F030860B}"/>
    <cellStyle name="Percent 3" xfId="136" xr:uid="{24E29310-43D7-4304-BC2B-2ECED09D4031}"/>
    <cellStyle name="Porcentaje 2" xfId="5" xr:uid="{1F85BED4-71CA-490F-A16A-91D18F9D03A1}"/>
    <cellStyle name="Porcentaje 3" xfId="138" xr:uid="{A0E8D6F9-4FA0-4236-B85C-6B0FFD435011}"/>
    <cellStyle name="Porcentaje 4" xfId="159" xr:uid="{D16BF3EB-1CA7-4CE2-B1F3-4ABC053CF502}"/>
    <cellStyle name="Porcentaje 5" xfId="168" xr:uid="{2C33D276-8E7C-418F-AC79-4B9C8CC921CE}"/>
    <cellStyle name="Porcentaje 6" xfId="137" xr:uid="{6CCFE7FD-70B8-4C63-BDB8-CC6D4424B1B3}"/>
    <cellStyle name="Porcentual 10" xfId="139" xr:uid="{E9EFF027-42EB-4491-9E3D-D635E7082AC1}"/>
    <cellStyle name="Porcentual 2" xfId="140" xr:uid="{D10ED04A-8B4C-43FB-8E26-0370DD7C7B65}"/>
    <cellStyle name="Porcentual 2 2" xfId="141" xr:uid="{1F4C3EA3-4591-4241-8769-63C1039D91F3}"/>
    <cellStyle name="Porcentual 3" xfId="142" xr:uid="{316E0A1B-6CD7-44C9-818E-D34AA603F67C}"/>
    <cellStyle name="Porcentual 3 2" xfId="143" xr:uid="{280713D0-7647-4C37-A484-08035E72CCC9}"/>
    <cellStyle name="Porcentual 4" xfId="144" xr:uid="{4397FFBD-A8C2-4447-8D9C-85192F2CDDD7}"/>
    <cellStyle name="Salida 2" xfId="145" xr:uid="{01BC3DC5-5838-43FD-B641-890B15C9E4F7}"/>
    <cellStyle name="Texto de advertencia 2" xfId="146" xr:uid="{26027494-C1A2-4A47-9215-9BA247F52EF0}"/>
    <cellStyle name="Texto explicativo 2" xfId="147" xr:uid="{B7C59219-8FC9-49CB-98B9-244D73EBFC0A}"/>
    <cellStyle name="Title" xfId="148" xr:uid="{9E77BE05-9F93-43E5-8FFA-2D569C941696}"/>
    <cellStyle name="Título 1 2" xfId="149" xr:uid="{579F770F-A0DF-402A-8451-EF71D0551AA1}"/>
    <cellStyle name="Título 2 2" xfId="150" xr:uid="{89E4B0CF-D8C2-4245-91B3-0A9DE1E49D50}"/>
    <cellStyle name="Título 3 2" xfId="151" xr:uid="{212FE3FB-64E2-4FCF-931D-475F84D32088}"/>
    <cellStyle name="Título 4" xfId="152" xr:uid="{F3D7CDF4-B529-44BC-BC65-A4729E0A781E}"/>
    <cellStyle name="Total 2" xfId="153" xr:uid="{484D5503-4305-457B-8A0B-A8321C939BB5}"/>
    <cellStyle name="Warning Text" xfId="154" xr:uid="{248F94DF-8D68-4633-A40E-311AAFF03F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4CFF-A06B-4068-A7FF-E094041C0FFB}">
  <dimension ref="A1:AM26"/>
  <sheetViews>
    <sheetView tabSelected="1" zoomScaleNormal="100" workbookViewId="0">
      <selection activeCell="P2" sqref="P2"/>
    </sheetView>
  </sheetViews>
  <sheetFormatPr defaultColWidth="11.42578125" defaultRowHeight="15"/>
  <cols>
    <col min="2" max="2" width="32.28515625" style="16" customWidth="1"/>
    <col min="3" max="3" width="34" style="16" customWidth="1"/>
    <col min="4" max="4" width="23.28515625" style="16" customWidth="1"/>
    <col min="5" max="5" width="21.5703125" style="16" customWidth="1"/>
    <col min="7" max="7" width="19.5703125" style="16" customWidth="1"/>
    <col min="8" max="8" width="11.5703125" style="16"/>
    <col min="9" max="10" width="15.5703125" customWidth="1"/>
    <col min="11" max="11" width="15.85546875" style="16" customWidth="1"/>
    <col min="12" max="12" width="19" customWidth="1"/>
    <col min="13" max="13" width="25.42578125" customWidth="1"/>
    <col min="14" max="14" width="31.5703125" customWidth="1"/>
    <col min="15" max="15" width="14.140625" customWidth="1"/>
    <col min="16" max="16" width="26.28515625" customWidth="1"/>
    <col min="20" max="20" width="17.42578125" customWidth="1"/>
    <col min="21" max="21" width="18.140625" customWidth="1"/>
    <col min="27" max="27" width="58.7109375" customWidth="1"/>
    <col min="30" max="30" width="16.140625" customWidth="1"/>
    <col min="33" max="33" width="14.7109375" customWidth="1"/>
    <col min="34" max="34" width="17" customWidth="1"/>
    <col min="36" max="36" width="20.85546875" customWidth="1"/>
  </cols>
  <sheetData>
    <row r="1" spans="1:39" ht="61.5" thickTop="1" thickBot="1">
      <c r="A1" s="1" t="s">
        <v>0</v>
      </c>
      <c r="B1" s="22" t="s">
        <v>1</v>
      </c>
      <c r="C1" s="22" t="s">
        <v>2</v>
      </c>
      <c r="D1" s="22" t="s">
        <v>3</v>
      </c>
      <c r="E1" s="22" t="s">
        <v>4</v>
      </c>
      <c r="F1" s="1" t="s">
        <v>5</v>
      </c>
      <c r="G1" s="19" t="s">
        <v>6</v>
      </c>
      <c r="H1" s="19" t="s">
        <v>7</v>
      </c>
      <c r="I1" s="5" t="s">
        <v>8</v>
      </c>
      <c r="J1" s="5" t="s">
        <v>9</v>
      </c>
      <c r="K1" s="19" t="s">
        <v>10</v>
      </c>
      <c r="L1" s="3" t="s">
        <v>11</v>
      </c>
      <c r="M1" s="5" t="s">
        <v>12</v>
      </c>
      <c r="N1" s="3" t="s">
        <v>13</v>
      </c>
      <c r="O1" s="3" t="s">
        <v>14</v>
      </c>
      <c r="P1" s="3" t="s">
        <v>15</v>
      </c>
      <c r="Q1" s="5" t="s">
        <v>16</v>
      </c>
      <c r="R1" s="5" t="s">
        <v>17</v>
      </c>
      <c r="S1" s="1" t="s">
        <v>18</v>
      </c>
      <c r="T1" s="5" t="s">
        <v>19</v>
      </c>
      <c r="U1" s="1" t="s">
        <v>20</v>
      </c>
      <c r="V1" s="5" t="s">
        <v>21</v>
      </c>
      <c r="W1" s="5" t="s">
        <v>22</v>
      </c>
      <c r="X1" s="5" t="s">
        <v>23</v>
      </c>
      <c r="Y1" s="5" t="s">
        <v>24</v>
      </c>
      <c r="Z1" s="5" t="s">
        <v>25</v>
      </c>
      <c r="AA1" s="1" t="s">
        <v>26</v>
      </c>
      <c r="AB1" s="1" t="s">
        <v>27</v>
      </c>
      <c r="AC1" s="1" t="s">
        <v>28</v>
      </c>
      <c r="AD1" s="1" t="s">
        <v>29</v>
      </c>
      <c r="AE1" s="1" t="s">
        <v>30</v>
      </c>
      <c r="AF1" s="5" t="s">
        <v>31</v>
      </c>
      <c r="AG1" s="2" t="s">
        <v>32</v>
      </c>
      <c r="AH1" s="1" t="s">
        <v>33</v>
      </c>
      <c r="AI1" s="26" t="s">
        <v>34</v>
      </c>
      <c r="AJ1" s="5" t="s">
        <v>35</v>
      </c>
      <c r="AK1" s="1" t="s">
        <v>36</v>
      </c>
      <c r="AL1" s="5" t="s">
        <v>37</v>
      </c>
      <c r="AM1" s="5" t="s">
        <v>38</v>
      </c>
    </row>
    <row r="2" spans="1:39" ht="16.5" thickTop="1" thickBot="1">
      <c r="A2" s="9" t="s">
        <v>39</v>
      </c>
      <c r="B2" s="23" t="s">
        <v>39</v>
      </c>
      <c r="C2" s="22" t="s">
        <v>39</v>
      </c>
      <c r="D2" s="22" t="s">
        <v>39</v>
      </c>
      <c r="E2" s="22" t="s">
        <v>39</v>
      </c>
      <c r="F2" s="1" t="s">
        <v>40</v>
      </c>
      <c r="G2" s="19" t="s">
        <v>39</v>
      </c>
      <c r="H2" s="19" t="s">
        <v>39</v>
      </c>
      <c r="I2" s="5" t="s">
        <v>39</v>
      </c>
      <c r="J2" s="5" t="s">
        <v>41</v>
      </c>
      <c r="K2" s="28" t="s">
        <v>40</v>
      </c>
      <c r="L2" s="3" t="s">
        <v>41</v>
      </c>
      <c r="M2" s="5" t="s">
        <v>41</v>
      </c>
      <c r="N2" s="10" t="s">
        <v>41</v>
      </c>
      <c r="O2" s="10" t="s">
        <v>41</v>
      </c>
      <c r="P2" s="10" t="s">
        <v>41</v>
      </c>
      <c r="Q2" s="5" t="s">
        <v>41</v>
      </c>
      <c r="R2" s="5" t="s">
        <v>41</v>
      </c>
      <c r="S2" s="9" t="s">
        <v>41</v>
      </c>
      <c r="T2" s="11" t="s">
        <v>41</v>
      </c>
      <c r="U2" s="9" t="s">
        <v>41</v>
      </c>
      <c r="V2" s="11" t="s">
        <v>41</v>
      </c>
      <c r="W2" s="11" t="s">
        <v>41</v>
      </c>
      <c r="X2" s="11" t="s">
        <v>41</v>
      </c>
      <c r="Y2" s="11" t="s">
        <v>41</v>
      </c>
      <c r="Z2" s="11" t="s">
        <v>41</v>
      </c>
      <c r="AA2" s="9" t="s">
        <v>39</v>
      </c>
      <c r="AB2" s="9" t="s">
        <v>41</v>
      </c>
      <c r="AC2" s="9" t="s">
        <v>41</v>
      </c>
      <c r="AD2" s="9" t="s">
        <v>40</v>
      </c>
      <c r="AE2" s="9" t="s">
        <v>42</v>
      </c>
      <c r="AF2" s="11" t="s">
        <v>41</v>
      </c>
      <c r="AG2" s="9" t="s">
        <v>39</v>
      </c>
      <c r="AH2" s="9" t="s">
        <v>39</v>
      </c>
      <c r="AI2" s="27" t="s">
        <v>41</v>
      </c>
      <c r="AJ2" s="11" t="s">
        <v>41</v>
      </c>
      <c r="AK2" s="9" t="s">
        <v>40</v>
      </c>
      <c r="AL2" s="11" t="s">
        <v>40</v>
      </c>
      <c r="AM2" s="11" t="s">
        <v>40</v>
      </c>
    </row>
    <row r="3" spans="1:39" ht="54.75" thickTop="1">
      <c r="A3" s="12">
        <v>701</v>
      </c>
      <c r="B3" s="18" t="s">
        <v>43</v>
      </c>
      <c r="C3" s="17" t="s">
        <v>44</v>
      </c>
      <c r="D3" s="24" t="s">
        <v>45</v>
      </c>
      <c r="E3" s="24" t="s">
        <v>46</v>
      </c>
      <c r="F3" s="25">
        <v>0</v>
      </c>
      <c r="G3" s="24">
        <v>11</v>
      </c>
      <c r="H3" s="24" t="s">
        <v>47</v>
      </c>
      <c r="I3" s="12" t="s">
        <v>48</v>
      </c>
      <c r="J3" s="12">
        <v>3</v>
      </c>
      <c r="K3" s="18" t="s">
        <v>49</v>
      </c>
      <c r="L3" s="12">
        <v>0</v>
      </c>
      <c r="M3" s="12">
        <v>120000</v>
      </c>
      <c r="N3" s="12">
        <v>400000000</v>
      </c>
      <c r="O3" s="29">
        <f>1-(P3/N3)</f>
        <v>5.5000000000000049E-2</v>
      </c>
      <c r="P3" s="12">
        <v>378000000</v>
      </c>
      <c r="Q3" s="12">
        <v>1987</v>
      </c>
      <c r="R3" s="12">
        <v>12</v>
      </c>
      <c r="S3" s="12">
        <v>3</v>
      </c>
      <c r="T3" s="12">
        <v>0</v>
      </c>
      <c r="U3" s="12">
        <v>85</v>
      </c>
      <c r="V3" s="12">
        <v>1</v>
      </c>
      <c r="W3" s="12">
        <v>1</v>
      </c>
      <c r="X3" s="12">
        <v>1</v>
      </c>
      <c r="Y3" s="12">
        <v>16000000</v>
      </c>
      <c r="Z3" s="12">
        <v>7000000</v>
      </c>
      <c r="AA3" s="13" t="s">
        <v>50</v>
      </c>
      <c r="AB3" s="12">
        <v>4.6857309999999996</v>
      </c>
      <c r="AC3" s="12">
        <v>-74.084351999999996</v>
      </c>
      <c r="AD3" s="12">
        <v>2</v>
      </c>
      <c r="AE3" s="14">
        <v>44524</v>
      </c>
      <c r="AF3" s="12">
        <v>1</v>
      </c>
      <c r="AG3" s="12">
        <v>314567874</v>
      </c>
      <c r="AH3" s="12" t="s">
        <v>51</v>
      </c>
      <c r="AI3" s="12">
        <v>0.12</v>
      </c>
      <c r="AJ3" s="12">
        <v>280000000</v>
      </c>
      <c r="AK3" s="12">
        <v>9</v>
      </c>
      <c r="AL3" s="12">
        <v>2</v>
      </c>
      <c r="AM3" s="12">
        <v>11</v>
      </c>
    </row>
    <row r="4" spans="1:39">
      <c r="A4" s="8"/>
      <c r="B4" s="20"/>
      <c r="C4" s="20"/>
      <c r="D4" s="20"/>
      <c r="E4" s="20"/>
      <c r="F4" s="8"/>
      <c r="G4" s="20"/>
      <c r="H4" s="20"/>
      <c r="I4" s="8"/>
      <c r="J4" s="8"/>
      <c r="K4" s="20"/>
      <c r="L4" s="8"/>
      <c r="M4" s="8"/>
      <c r="N4" s="8"/>
      <c r="O4" s="8"/>
      <c r="P4" s="8"/>
      <c r="Q4" s="8"/>
      <c r="R4" s="8"/>
      <c r="S4" s="8"/>
      <c r="T4" s="8"/>
      <c r="U4" s="8"/>
      <c r="V4" s="8"/>
      <c r="W4" s="8"/>
      <c r="X4" s="8"/>
      <c r="Y4" s="8"/>
      <c r="Z4" s="8"/>
      <c r="AA4" s="8"/>
      <c r="AB4" s="8"/>
      <c r="AC4" s="8"/>
      <c r="AD4" s="8"/>
      <c r="AE4" s="8"/>
      <c r="AF4" s="8"/>
      <c r="AG4" s="8"/>
      <c r="AH4" s="8"/>
      <c r="AI4" s="8"/>
      <c r="AJ4" s="8"/>
      <c r="AK4" s="8"/>
      <c r="AL4" s="8"/>
      <c r="AM4" s="8"/>
    </row>
    <row r="5" spans="1:39">
      <c r="A5" s="8"/>
      <c r="B5" s="20"/>
      <c r="C5" s="20"/>
      <c r="D5" s="20"/>
      <c r="E5" s="20"/>
      <c r="F5" s="8"/>
      <c r="G5" s="20"/>
      <c r="H5" s="20"/>
      <c r="I5" s="8"/>
      <c r="J5" s="8"/>
      <c r="K5" s="20"/>
      <c r="L5" s="8"/>
      <c r="M5" s="8"/>
      <c r="N5" s="8"/>
      <c r="O5" s="8"/>
      <c r="P5" s="8"/>
      <c r="Q5" s="8"/>
      <c r="R5" s="8"/>
      <c r="S5" s="8"/>
      <c r="T5" s="8"/>
      <c r="U5" s="8"/>
      <c r="V5" s="8"/>
      <c r="W5" s="8"/>
      <c r="X5" s="8"/>
      <c r="Y5" s="8"/>
      <c r="Z5" s="8"/>
      <c r="AA5" s="8"/>
      <c r="AB5" s="8"/>
      <c r="AC5" s="8"/>
      <c r="AD5" s="8"/>
      <c r="AE5" s="8"/>
      <c r="AF5" s="8"/>
      <c r="AG5" s="8"/>
      <c r="AH5" s="8"/>
      <c r="AI5" s="8"/>
      <c r="AJ5" s="8"/>
      <c r="AK5" s="8"/>
      <c r="AL5" s="8"/>
      <c r="AM5" s="8"/>
    </row>
    <row r="6" spans="1:39">
      <c r="A6" s="8"/>
      <c r="B6" s="20"/>
      <c r="C6" s="20"/>
      <c r="D6" s="20"/>
      <c r="E6" s="20"/>
      <c r="F6" s="8"/>
      <c r="G6" s="20"/>
      <c r="H6" s="20"/>
      <c r="I6" s="8"/>
      <c r="J6" s="8"/>
      <c r="K6" s="20"/>
      <c r="L6" s="8"/>
      <c r="M6" s="8"/>
      <c r="N6" s="8"/>
      <c r="O6" s="8"/>
      <c r="P6" s="8"/>
      <c r="Q6" s="8"/>
      <c r="R6" s="8"/>
      <c r="S6" s="8"/>
      <c r="T6" s="8"/>
      <c r="U6" s="8"/>
      <c r="V6" s="8"/>
      <c r="W6" s="8"/>
      <c r="X6" s="8"/>
      <c r="Y6" s="8"/>
      <c r="Z6" s="8"/>
      <c r="AA6" s="8"/>
      <c r="AB6" s="8"/>
      <c r="AC6" s="8"/>
      <c r="AD6" s="8"/>
      <c r="AE6" s="8"/>
      <c r="AF6" s="8"/>
      <c r="AG6" s="8"/>
      <c r="AH6" s="8"/>
      <c r="AI6" s="8"/>
      <c r="AJ6" s="8"/>
      <c r="AK6" s="8"/>
      <c r="AL6" s="8"/>
      <c r="AM6" s="8"/>
    </row>
    <row r="7" spans="1:39">
      <c r="A7" s="8"/>
      <c r="B7" s="20"/>
      <c r="C7" s="20"/>
      <c r="D7" s="20"/>
      <c r="E7" s="20"/>
      <c r="F7" s="8"/>
      <c r="G7" s="20"/>
      <c r="H7" s="20"/>
      <c r="I7" s="8"/>
      <c r="J7" s="8"/>
      <c r="K7" s="20"/>
      <c r="L7" s="8"/>
      <c r="M7" s="8"/>
      <c r="N7" s="8"/>
      <c r="O7" s="8"/>
      <c r="P7" s="8"/>
      <c r="Q7" s="8"/>
      <c r="R7" s="8"/>
      <c r="S7" s="8"/>
      <c r="T7" s="8"/>
      <c r="U7" s="8"/>
      <c r="V7" s="8"/>
      <c r="W7" s="8"/>
      <c r="X7" s="8"/>
      <c r="Y7" s="8"/>
      <c r="Z7" s="8"/>
      <c r="AA7" s="8"/>
      <c r="AB7" s="8"/>
      <c r="AC7" s="8"/>
      <c r="AD7" s="8"/>
      <c r="AE7" s="8"/>
      <c r="AF7" s="8"/>
      <c r="AG7" s="8"/>
      <c r="AH7" s="8"/>
      <c r="AI7" s="8"/>
      <c r="AJ7" s="8"/>
      <c r="AK7" s="8"/>
      <c r="AL7" s="8"/>
      <c r="AM7" s="8"/>
    </row>
    <row r="8" spans="1:39">
      <c r="A8" s="8"/>
      <c r="B8" s="20"/>
      <c r="C8" s="20"/>
      <c r="D8" s="20"/>
      <c r="E8" s="20"/>
      <c r="F8" s="8"/>
      <c r="G8" s="20"/>
      <c r="H8" s="20"/>
      <c r="I8" s="8"/>
      <c r="J8" s="8"/>
      <c r="K8" s="20"/>
      <c r="L8" s="8"/>
      <c r="M8" s="8"/>
      <c r="N8" s="8"/>
      <c r="O8" s="8"/>
      <c r="P8" s="8"/>
      <c r="Q8" s="8"/>
      <c r="R8" s="8"/>
      <c r="S8" s="8"/>
      <c r="T8" s="8"/>
      <c r="U8" s="8"/>
      <c r="V8" s="8"/>
      <c r="W8" s="8"/>
      <c r="X8" s="8"/>
      <c r="Y8" s="8"/>
      <c r="Z8" s="8"/>
      <c r="AA8" s="8"/>
      <c r="AB8" s="8"/>
      <c r="AC8" s="8"/>
      <c r="AD8" s="8"/>
      <c r="AE8" s="8"/>
      <c r="AF8" s="8"/>
      <c r="AG8" s="8"/>
      <c r="AH8" s="8"/>
      <c r="AI8" s="8"/>
      <c r="AJ8" s="8"/>
      <c r="AK8" s="8"/>
      <c r="AL8" s="8"/>
      <c r="AM8" s="8"/>
    </row>
    <row r="9" spans="1:39">
      <c r="A9" s="8"/>
      <c r="B9" s="20"/>
      <c r="C9" s="20"/>
      <c r="D9" s="20"/>
      <c r="E9" s="20"/>
      <c r="F9" s="8"/>
      <c r="G9" s="20"/>
      <c r="H9" s="20"/>
      <c r="I9" s="8"/>
      <c r="J9" s="8"/>
      <c r="K9" s="20"/>
      <c r="L9" s="8"/>
      <c r="M9" s="8"/>
      <c r="N9" s="8"/>
      <c r="O9" s="8"/>
      <c r="P9" s="8"/>
      <c r="Q9" s="8"/>
      <c r="R9" s="8"/>
      <c r="S9" s="8"/>
      <c r="T9" s="8"/>
      <c r="U9" s="8"/>
      <c r="V9" s="8"/>
      <c r="W9" s="8"/>
      <c r="X9" s="8"/>
      <c r="Y9" s="8"/>
      <c r="Z9" s="8"/>
      <c r="AA9" s="8"/>
      <c r="AB9" s="8"/>
      <c r="AC9" s="8"/>
      <c r="AD9" s="8"/>
      <c r="AE9" s="8"/>
      <c r="AF9" s="8"/>
      <c r="AG9" s="8"/>
      <c r="AH9" s="8"/>
      <c r="AI9" s="8"/>
      <c r="AJ9" s="8"/>
      <c r="AK9" s="8"/>
      <c r="AL9" s="8"/>
      <c r="AM9" s="8"/>
    </row>
    <row r="10" spans="1:39">
      <c r="A10" s="8"/>
      <c r="B10" s="20"/>
      <c r="C10" s="20"/>
      <c r="D10" s="20"/>
      <c r="E10" s="20"/>
      <c r="F10" s="8"/>
      <c r="G10" s="20"/>
      <c r="H10" s="20"/>
      <c r="I10" s="8"/>
      <c r="J10" s="8"/>
      <c r="K10" s="20"/>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row>
    <row r="11" spans="1:39">
      <c r="A11" s="8"/>
      <c r="B11" s="20"/>
      <c r="C11" s="20"/>
      <c r="D11" s="20"/>
      <c r="E11" s="20"/>
      <c r="F11" s="8"/>
      <c r="G11" s="20"/>
      <c r="H11" s="20"/>
      <c r="I11" s="8"/>
      <c r="J11" s="8"/>
      <c r="K11" s="20"/>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row>
    <row r="12" spans="1:39">
      <c r="A12" s="8"/>
      <c r="B12" s="20"/>
      <c r="C12" s="20"/>
      <c r="D12" s="20"/>
      <c r="E12" s="20"/>
      <c r="F12" s="8"/>
      <c r="G12" s="20"/>
      <c r="H12" s="20"/>
      <c r="I12" s="8"/>
      <c r="J12" s="8"/>
      <c r="K12" s="20"/>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row>
    <row r="13" spans="1:39">
      <c r="A13" s="8"/>
      <c r="B13" s="20"/>
      <c r="C13" s="20"/>
      <c r="D13" s="20"/>
      <c r="E13" s="20"/>
      <c r="F13" s="8"/>
      <c r="G13" s="20"/>
      <c r="H13" s="20"/>
      <c r="I13" s="8"/>
      <c r="J13" s="8"/>
      <c r="K13" s="20"/>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row>
    <row r="14" spans="1:39">
      <c r="A14" s="8"/>
      <c r="B14" s="20"/>
      <c r="C14" s="20"/>
      <c r="D14" s="20"/>
      <c r="E14" s="20"/>
      <c r="F14" s="8"/>
      <c r="G14" s="20"/>
      <c r="H14" s="20"/>
      <c r="I14" s="8"/>
      <c r="J14" s="8"/>
      <c r="K14" s="20"/>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row>
    <row r="15" spans="1:39">
      <c r="A15" s="8"/>
      <c r="B15" s="20"/>
      <c r="C15" s="20"/>
      <c r="D15" s="20"/>
      <c r="E15" s="20"/>
      <c r="F15" s="8"/>
      <c r="G15" s="20"/>
      <c r="H15" s="20"/>
      <c r="I15" s="8"/>
      <c r="J15" s="8"/>
      <c r="K15" s="20"/>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row>
    <row r="16" spans="1:39">
      <c r="A16" s="8"/>
      <c r="B16" s="20"/>
      <c r="C16" s="20"/>
      <c r="D16" s="20"/>
      <c r="E16" s="20"/>
      <c r="F16" s="8"/>
      <c r="G16" s="20"/>
      <c r="H16" s="20"/>
      <c r="I16" s="8"/>
      <c r="J16" s="8"/>
      <c r="K16" s="20"/>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row>
    <row r="17" spans="1:39">
      <c r="A17" s="8"/>
      <c r="B17" s="20"/>
      <c r="C17" s="20"/>
      <c r="D17" s="20"/>
      <c r="E17" s="20"/>
      <c r="F17" s="8"/>
      <c r="G17" s="20"/>
      <c r="H17" s="20"/>
      <c r="I17" s="8"/>
      <c r="J17" s="8"/>
      <c r="K17" s="20"/>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row>
    <row r="18" spans="1:39">
      <c r="A18" s="8"/>
      <c r="B18" s="20"/>
      <c r="C18" s="20"/>
      <c r="D18" s="20"/>
      <c r="E18" s="20"/>
      <c r="F18" s="8"/>
      <c r="G18" s="20"/>
      <c r="H18" s="20"/>
      <c r="I18" s="8"/>
      <c r="J18" s="8"/>
      <c r="K18" s="20"/>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21" spans="1:39">
      <c r="C21"/>
      <c r="D21"/>
    </row>
    <row r="26" spans="1:39">
      <c r="C26"/>
      <c r="D2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012E-72E7-4392-B37A-6477A7550D8B}">
  <dimension ref="A1:AF18"/>
  <sheetViews>
    <sheetView topLeftCell="G1" workbookViewId="0">
      <selection activeCell="O2" sqref="O2"/>
    </sheetView>
  </sheetViews>
  <sheetFormatPr defaultColWidth="11.42578125" defaultRowHeight="15"/>
  <cols>
    <col min="2" max="2" width="32.28515625" style="16" customWidth="1"/>
    <col min="3" max="3" width="39.42578125" style="16" customWidth="1"/>
    <col min="4" max="5" width="27.140625" style="16" customWidth="1"/>
    <col min="7" max="7" width="20.28515625" customWidth="1"/>
    <col min="9" max="10" width="17.5703125" customWidth="1"/>
    <col min="11" max="11" width="24.28515625" customWidth="1"/>
    <col min="12" max="12" width="17.7109375" customWidth="1"/>
    <col min="13" max="13" width="23.42578125" customWidth="1"/>
    <col min="14" max="14" width="19.28515625" customWidth="1"/>
    <col min="15" max="15" width="23.140625" customWidth="1"/>
    <col min="19" max="19" width="19.140625" customWidth="1"/>
    <col min="20" max="20" width="18.5703125" customWidth="1"/>
    <col min="21" max="21" width="56.28515625" customWidth="1"/>
    <col min="25" max="25" width="15" customWidth="1"/>
    <col min="26" max="26" width="18.140625" customWidth="1"/>
    <col min="27" max="27" width="14.5703125" customWidth="1"/>
    <col min="28" max="28" width="27.7109375" customWidth="1"/>
    <col min="29" max="29" width="28.85546875" customWidth="1"/>
  </cols>
  <sheetData>
    <row r="1" spans="1:32" ht="46.5" thickTop="1" thickBot="1">
      <c r="A1" s="1" t="s">
        <v>52</v>
      </c>
      <c r="B1" s="22" t="s">
        <v>1</v>
      </c>
      <c r="C1" s="22" t="s">
        <v>2</v>
      </c>
      <c r="D1" s="22" t="s">
        <v>3</v>
      </c>
      <c r="E1" s="22" t="s">
        <v>4</v>
      </c>
      <c r="F1" s="1" t="s">
        <v>5</v>
      </c>
      <c r="G1" s="1" t="s">
        <v>6</v>
      </c>
      <c r="H1" s="1" t="s">
        <v>7</v>
      </c>
      <c r="I1" s="5" t="s">
        <v>8</v>
      </c>
      <c r="J1" s="5" t="s">
        <v>9</v>
      </c>
      <c r="K1" s="1" t="s">
        <v>10</v>
      </c>
      <c r="L1" s="3" t="s">
        <v>11</v>
      </c>
      <c r="M1" s="3" t="s">
        <v>13</v>
      </c>
      <c r="N1" s="3" t="s">
        <v>14</v>
      </c>
      <c r="O1" s="3" t="s">
        <v>15</v>
      </c>
      <c r="P1" s="5" t="s">
        <v>16</v>
      </c>
      <c r="Q1" s="1" t="s">
        <v>53</v>
      </c>
      <c r="R1" s="1" t="s">
        <v>54</v>
      </c>
      <c r="S1" s="1" t="s">
        <v>55</v>
      </c>
      <c r="T1" s="1" t="s">
        <v>56</v>
      </c>
      <c r="U1" s="1" t="s">
        <v>26</v>
      </c>
      <c r="V1" s="1" t="s">
        <v>27</v>
      </c>
      <c r="W1" s="1" t="s">
        <v>28</v>
      </c>
      <c r="X1" s="1" t="s">
        <v>29</v>
      </c>
      <c r="Y1" s="1" t="s">
        <v>30</v>
      </c>
      <c r="Z1" s="5" t="s">
        <v>31</v>
      </c>
      <c r="AA1" s="2" t="s">
        <v>32</v>
      </c>
      <c r="AB1" s="1" t="s">
        <v>33</v>
      </c>
      <c r="AC1" s="5" t="s">
        <v>35</v>
      </c>
      <c r="AD1" s="1" t="s">
        <v>36</v>
      </c>
      <c r="AE1" s="5" t="s">
        <v>37</v>
      </c>
      <c r="AF1" s="5" t="s">
        <v>38</v>
      </c>
    </row>
    <row r="2" spans="1:32">
      <c r="A2" s="1" t="s">
        <v>39</v>
      </c>
      <c r="B2" s="22" t="s">
        <v>39</v>
      </c>
      <c r="C2" s="22" t="s">
        <v>39</v>
      </c>
      <c r="D2" s="22" t="s">
        <v>39</v>
      </c>
      <c r="E2" s="22" t="s">
        <v>39</v>
      </c>
      <c r="F2" s="1" t="s">
        <v>40</v>
      </c>
      <c r="G2" s="1" t="s">
        <v>39</v>
      </c>
      <c r="H2" s="1" t="s">
        <v>39</v>
      </c>
      <c r="I2" s="5" t="s">
        <v>39</v>
      </c>
      <c r="J2" s="5" t="s">
        <v>41</v>
      </c>
      <c r="K2" s="1" t="s">
        <v>40</v>
      </c>
      <c r="L2" s="3" t="s">
        <v>41</v>
      </c>
      <c r="M2" s="3" t="s">
        <v>41</v>
      </c>
      <c r="N2" s="3" t="s">
        <v>41</v>
      </c>
      <c r="O2" s="3" t="s">
        <v>41</v>
      </c>
      <c r="P2" s="5" t="s">
        <v>41</v>
      </c>
      <c r="Q2" s="1" t="s">
        <v>41</v>
      </c>
      <c r="R2" s="1" t="s">
        <v>41</v>
      </c>
      <c r="S2" s="1" t="s">
        <v>41</v>
      </c>
      <c r="T2" s="1" t="s">
        <v>41</v>
      </c>
      <c r="U2" s="1" t="s">
        <v>39</v>
      </c>
      <c r="V2" s="9" t="s">
        <v>41</v>
      </c>
      <c r="W2" s="9" t="s">
        <v>41</v>
      </c>
      <c r="X2" s="9" t="s">
        <v>40</v>
      </c>
      <c r="Y2" s="9" t="s">
        <v>42</v>
      </c>
      <c r="Z2" s="5" t="s">
        <v>41</v>
      </c>
      <c r="AA2" s="9" t="s">
        <v>39</v>
      </c>
      <c r="AB2" s="9" t="s">
        <v>39</v>
      </c>
      <c r="AC2" s="11" t="s">
        <v>41</v>
      </c>
      <c r="AD2" s="9" t="s">
        <v>40</v>
      </c>
      <c r="AE2" s="11" t="s">
        <v>40</v>
      </c>
      <c r="AF2" s="11" t="s">
        <v>40</v>
      </c>
    </row>
    <row r="3" spans="1:32" ht="105.75" thickTop="1">
      <c r="A3" s="12">
        <v>702</v>
      </c>
      <c r="B3" s="17" t="s">
        <v>57</v>
      </c>
      <c r="C3" s="17" t="s">
        <v>58</v>
      </c>
      <c r="D3" s="18" t="s">
        <v>59</v>
      </c>
      <c r="E3" s="18" t="s">
        <v>60</v>
      </c>
      <c r="F3" s="12">
        <v>0</v>
      </c>
      <c r="G3" s="12">
        <v>1</v>
      </c>
      <c r="H3" s="12">
        <v>2</v>
      </c>
      <c r="I3" s="12" t="s">
        <v>48</v>
      </c>
      <c r="J3" s="12">
        <v>3</v>
      </c>
      <c r="K3" s="12" t="s">
        <v>61</v>
      </c>
      <c r="L3" s="12">
        <v>0</v>
      </c>
      <c r="M3" s="12">
        <v>470000000</v>
      </c>
      <c r="N3" s="12">
        <f>1-(O3/M3)</f>
        <v>4.2553191489361653E-2</v>
      </c>
      <c r="O3" s="12">
        <v>450000000</v>
      </c>
      <c r="P3" s="12">
        <v>1990</v>
      </c>
      <c r="Q3" s="12">
        <v>182</v>
      </c>
      <c r="R3" s="12">
        <v>250</v>
      </c>
      <c r="S3" s="12">
        <v>832000</v>
      </c>
      <c r="T3" s="12">
        <v>1250000</v>
      </c>
      <c r="U3" s="15" t="s">
        <v>62</v>
      </c>
      <c r="V3" s="12">
        <v>4.6885289999999999</v>
      </c>
      <c r="W3" s="12">
        <v>-74.082549999999998</v>
      </c>
      <c r="X3" s="12">
        <v>2</v>
      </c>
      <c r="Y3" s="14">
        <v>44524</v>
      </c>
      <c r="Z3" s="12">
        <v>1</v>
      </c>
      <c r="AA3" s="12">
        <v>3192514878</v>
      </c>
      <c r="AB3" s="12" t="s">
        <v>63</v>
      </c>
      <c r="AC3" s="12">
        <v>320000000</v>
      </c>
      <c r="AD3" s="12">
        <v>7</v>
      </c>
      <c r="AE3" s="12">
        <v>2</v>
      </c>
      <c r="AF3" s="12">
        <v>6</v>
      </c>
    </row>
    <row r="4" spans="1:32">
      <c r="A4" s="8"/>
      <c r="B4" s="20"/>
      <c r="C4" s="20"/>
      <c r="D4" s="20"/>
      <c r="E4" s="20"/>
      <c r="F4" s="8"/>
      <c r="G4" s="8"/>
      <c r="H4" s="8"/>
      <c r="I4" s="8"/>
      <c r="J4" s="8"/>
      <c r="K4" s="8"/>
      <c r="L4" s="8"/>
      <c r="M4" s="8"/>
      <c r="N4" s="8"/>
      <c r="O4" s="8"/>
      <c r="P4" s="8"/>
      <c r="Q4" s="8"/>
      <c r="R4" s="8"/>
      <c r="S4" s="8"/>
      <c r="T4" s="8"/>
      <c r="U4" s="8"/>
      <c r="V4" s="8"/>
      <c r="W4" s="8"/>
      <c r="X4" s="8"/>
      <c r="Y4" s="8"/>
      <c r="Z4" s="8"/>
      <c r="AA4" s="8"/>
      <c r="AB4" s="8"/>
      <c r="AC4" s="8"/>
      <c r="AD4" s="8"/>
      <c r="AE4" s="8"/>
      <c r="AF4" s="8"/>
    </row>
    <row r="5" spans="1:32">
      <c r="A5" s="8"/>
      <c r="B5" s="20"/>
      <c r="C5" s="20"/>
      <c r="D5" s="20"/>
      <c r="E5" s="20"/>
      <c r="F5" s="8"/>
      <c r="G5" s="8"/>
      <c r="H5" s="8"/>
      <c r="I5" s="8"/>
      <c r="J5" s="8"/>
      <c r="K5" s="8"/>
      <c r="L5" s="8"/>
      <c r="M5" s="8"/>
      <c r="N5" s="8"/>
      <c r="O5" s="8"/>
      <c r="P5" s="8"/>
      <c r="Q5" s="8"/>
      <c r="R5" s="8"/>
      <c r="S5" s="8"/>
      <c r="T5" s="8"/>
      <c r="U5" s="8"/>
      <c r="V5" s="8"/>
      <c r="W5" s="8"/>
      <c r="X5" s="8"/>
      <c r="Y5" s="8"/>
      <c r="Z5" s="8"/>
      <c r="AA5" s="8"/>
      <c r="AB5" s="8"/>
      <c r="AC5" s="8"/>
      <c r="AD5" s="8"/>
      <c r="AE5" s="8"/>
      <c r="AF5" s="8"/>
    </row>
    <row r="6" spans="1:32">
      <c r="A6" s="8"/>
      <c r="B6" s="20"/>
      <c r="C6" s="20"/>
      <c r="D6" s="20"/>
      <c r="E6" s="20"/>
      <c r="F6" s="8"/>
      <c r="G6" s="8"/>
      <c r="H6" s="8"/>
      <c r="I6" s="8"/>
      <c r="J6" s="8"/>
      <c r="K6" s="8"/>
      <c r="L6" s="8"/>
      <c r="M6" s="8"/>
      <c r="N6" s="8"/>
      <c r="O6" s="8"/>
      <c r="P6" s="8"/>
      <c r="Q6" s="8"/>
      <c r="R6" s="8"/>
      <c r="S6" s="8"/>
      <c r="T6" s="8"/>
      <c r="U6" s="8"/>
      <c r="V6" s="8"/>
      <c r="W6" s="8"/>
      <c r="X6" s="8"/>
      <c r="Y6" s="8"/>
      <c r="Z6" s="8"/>
      <c r="AA6" s="8"/>
      <c r="AB6" s="8"/>
      <c r="AC6" s="8"/>
      <c r="AD6" s="8"/>
      <c r="AE6" s="8"/>
      <c r="AF6" s="8"/>
    </row>
    <row r="7" spans="1:32">
      <c r="A7" s="8"/>
      <c r="B7" s="20"/>
      <c r="C7" s="20"/>
      <c r="D7" s="20"/>
      <c r="E7" s="20"/>
      <c r="F7" s="8"/>
      <c r="G7" s="8"/>
      <c r="H7" s="8"/>
      <c r="I7" s="8"/>
      <c r="J7" s="8"/>
      <c r="K7" s="8"/>
      <c r="L7" s="8"/>
      <c r="M7" s="8"/>
      <c r="N7" s="8"/>
      <c r="O7" s="8"/>
      <c r="P7" s="8"/>
      <c r="Q7" s="8"/>
      <c r="R7" s="8"/>
      <c r="S7" s="8"/>
      <c r="T7" s="8"/>
      <c r="U7" s="8"/>
      <c r="V7" s="8"/>
      <c r="W7" s="8"/>
      <c r="X7" s="8"/>
      <c r="Y7" s="8"/>
      <c r="Z7" s="8"/>
      <c r="AA7" s="8"/>
      <c r="AB7" s="8"/>
      <c r="AC7" s="8"/>
      <c r="AD7" s="8"/>
      <c r="AE7" s="8"/>
      <c r="AF7" s="8"/>
    </row>
    <row r="8" spans="1:32">
      <c r="A8" s="8"/>
      <c r="B8" s="20"/>
      <c r="C8" s="20"/>
      <c r="D8" s="20"/>
      <c r="E8" s="20"/>
      <c r="F8" s="8"/>
      <c r="G8" s="8"/>
      <c r="H8" s="8"/>
      <c r="I8" s="8"/>
      <c r="J8" s="8"/>
      <c r="K8" s="8"/>
      <c r="L8" s="8"/>
      <c r="M8" s="8"/>
      <c r="N8" s="8"/>
      <c r="O8" s="8"/>
      <c r="P8" s="8"/>
      <c r="Q8" s="8"/>
      <c r="R8" s="8"/>
      <c r="S8" s="8"/>
      <c r="T8" s="8"/>
      <c r="U8" s="8"/>
      <c r="V8" s="8"/>
      <c r="W8" s="8"/>
      <c r="X8" s="8"/>
      <c r="Y8" s="8"/>
      <c r="Z8" s="8"/>
      <c r="AA8" s="8"/>
      <c r="AB8" s="8"/>
      <c r="AC8" s="8"/>
      <c r="AD8" s="8"/>
      <c r="AE8" s="8"/>
      <c r="AF8" s="8"/>
    </row>
    <row r="9" spans="1:32">
      <c r="A9" s="8"/>
      <c r="B9" s="20"/>
      <c r="C9" s="20"/>
      <c r="D9" s="20"/>
      <c r="E9" s="20"/>
      <c r="F9" s="8"/>
      <c r="G9" s="8"/>
      <c r="H9" s="8"/>
      <c r="I9" s="8"/>
      <c r="J9" s="8"/>
      <c r="K9" s="8"/>
      <c r="L9" s="8"/>
      <c r="M9" s="8"/>
      <c r="N9" s="8"/>
      <c r="O9" s="8"/>
      <c r="P9" s="8"/>
      <c r="Q9" s="8"/>
      <c r="R9" s="8"/>
      <c r="S9" s="8"/>
      <c r="T9" s="8"/>
      <c r="U9" s="8"/>
      <c r="V9" s="8"/>
      <c r="W9" s="8"/>
      <c r="X9" s="8"/>
      <c r="Y9" s="8"/>
      <c r="Z9" s="8"/>
      <c r="AA9" s="8"/>
      <c r="AB9" s="8"/>
      <c r="AC9" s="8"/>
      <c r="AD9" s="8"/>
      <c r="AE9" s="8"/>
      <c r="AF9" s="8"/>
    </row>
    <row r="10" spans="1:32">
      <c r="A10" s="8"/>
      <c r="B10" s="20"/>
      <c r="C10" s="20"/>
      <c r="D10" s="20"/>
      <c r="E10" s="20"/>
      <c r="F10" s="8"/>
      <c r="G10" s="8"/>
      <c r="H10" s="8"/>
      <c r="I10" s="8"/>
      <c r="J10" s="8"/>
      <c r="K10" s="8"/>
      <c r="L10" s="8"/>
      <c r="M10" s="8"/>
      <c r="N10" s="8"/>
      <c r="O10" s="8"/>
      <c r="P10" s="8"/>
      <c r="Q10" s="8"/>
      <c r="R10" s="8"/>
      <c r="S10" s="8"/>
      <c r="T10" s="8"/>
      <c r="U10" s="8"/>
      <c r="V10" s="8"/>
      <c r="W10" s="8"/>
      <c r="X10" s="8"/>
      <c r="Y10" s="8"/>
      <c r="Z10" s="8"/>
      <c r="AA10" s="8"/>
      <c r="AB10" s="8"/>
      <c r="AC10" s="8"/>
      <c r="AD10" s="8"/>
      <c r="AE10" s="8"/>
      <c r="AF10" s="8"/>
    </row>
    <row r="11" spans="1:32">
      <c r="A11" s="8"/>
      <c r="B11" s="20"/>
      <c r="C11" s="20"/>
      <c r="D11" s="20"/>
      <c r="E11" s="20"/>
      <c r="F11" s="8"/>
      <c r="G11" s="8"/>
      <c r="H11" s="8"/>
      <c r="I11" s="8"/>
      <c r="J11" s="8"/>
      <c r="K11" s="8"/>
      <c r="L11" s="8"/>
      <c r="M11" s="8"/>
      <c r="N11" s="8"/>
      <c r="O11" s="8"/>
      <c r="P11" s="8"/>
      <c r="Q11" s="8"/>
      <c r="R11" s="8"/>
      <c r="S11" s="8"/>
      <c r="T11" s="8"/>
      <c r="U11" s="8"/>
      <c r="V11" s="8"/>
      <c r="W11" s="8"/>
      <c r="X11" s="8"/>
      <c r="Y11" s="8"/>
      <c r="Z11" s="8"/>
      <c r="AA11" s="8"/>
      <c r="AB11" s="8"/>
      <c r="AC11" s="8"/>
      <c r="AD11" s="8"/>
      <c r="AE11" s="8"/>
      <c r="AF11" s="8"/>
    </row>
    <row r="12" spans="1:32">
      <c r="A12" s="8"/>
      <c r="B12" s="20"/>
      <c r="C12" s="20"/>
      <c r="D12" s="20"/>
      <c r="E12" s="20"/>
      <c r="F12" s="8"/>
      <c r="G12" s="8"/>
      <c r="H12" s="8"/>
      <c r="I12" s="8"/>
      <c r="J12" s="8"/>
      <c r="K12" s="8"/>
      <c r="L12" s="8"/>
      <c r="M12" s="8"/>
      <c r="N12" s="8"/>
      <c r="O12" s="8"/>
      <c r="P12" s="8"/>
      <c r="Q12" s="8"/>
      <c r="R12" s="8"/>
      <c r="S12" s="8"/>
      <c r="T12" s="8"/>
      <c r="U12" s="8"/>
      <c r="V12" s="8"/>
      <c r="W12" s="8"/>
      <c r="X12" s="8"/>
      <c r="Y12" s="8"/>
      <c r="Z12" s="8"/>
      <c r="AA12" s="8"/>
      <c r="AB12" s="8"/>
      <c r="AC12" s="8"/>
      <c r="AD12" s="8"/>
      <c r="AE12" s="8"/>
      <c r="AF12" s="8"/>
    </row>
    <row r="13" spans="1:32">
      <c r="A13" s="8"/>
      <c r="B13" s="20"/>
      <c r="C13" s="20"/>
      <c r="D13" s="20"/>
      <c r="E13" s="20"/>
      <c r="F13" s="8"/>
      <c r="G13" s="8"/>
      <c r="H13" s="8"/>
      <c r="I13" s="8"/>
      <c r="J13" s="8"/>
      <c r="K13" s="8"/>
      <c r="L13" s="8"/>
      <c r="M13" s="8"/>
      <c r="N13" s="8"/>
      <c r="O13" s="8"/>
      <c r="P13" s="8"/>
      <c r="Q13" s="8"/>
      <c r="R13" s="8"/>
      <c r="S13" s="8"/>
      <c r="T13" s="8"/>
      <c r="U13" s="8"/>
      <c r="V13" s="8"/>
      <c r="W13" s="8"/>
      <c r="X13" s="8"/>
      <c r="Y13" s="8"/>
      <c r="Z13" s="8"/>
      <c r="AA13" s="8"/>
      <c r="AB13" s="8"/>
      <c r="AC13" s="8"/>
      <c r="AD13" s="8"/>
      <c r="AE13" s="8"/>
      <c r="AF13" s="8"/>
    </row>
    <row r="14" spans="1:32">
      <c r="A14" s="8"/>
      <c r="B14" s="20"/>
      <c r="C14" s="20"/>
      <c r="D14" s="20"/>
      <c r="E14" s="20"/>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c r="A15" s="8"/>
      <c r="B15" s="20"/>
      <c r="C15" s="20"/>
      <c r="D15" s="20"/>
      <c r="E15" s="20"/>
      <c r="F15" s="8"/>
      <c r="G15" s="8"/>
      <c r="H15" s="8"/>
      <c r="I15" s="8"/>
      <c r="J15" s="8"/>
      <c r="K15" s="8"/>
      <c r="L15" s="8"/>
      <c r="M15" s="8"/>
      <c r="N15" s="8"/>
      <c r="O15" s="8"/>
      <c r="P15" s="8"/>
      <c r="Q15" s="8"/>
      <c r="R15" s="8"/>
      <c r="S15" s="8"/>
      <c r="T15" s="8"/>
      <c r="U15" s="8"/>
      <c r="V15" s="8"/>
      <c r="W15" s="8"/>
      <c r="X15" s="8"/>
      <c r="Y15" s="8"/>
      <c r="Z15" s="8"/>
      <c r="AA15" s="8"/>
      <c r="AB15" s="8"/>
      <c r="AC15" s="8"/>
      <c r="AD15" s="8"/>
      <c r="AE15" s="8"/>
      <c r="AF15" s="8"/>
    </row>
    <row r="16" spans="1:32">
      <c r="A16" s="8"/>
      <c r="B16" s="20"/>
      <c r="C16" s="20"/>
      <c r="D16" s="20"/>
      <c r="E16" s="20"/>
      <c r="F16" s="8"/>
      <c r="G16" s="8"/>
      <c r="H16" s="8"/>
      <c r="I16" s="8"/>
      <c r="J16" s="8"/>
      <c r="K16" s="8"/>
      <c r="L16" s="8"/>
      <c r="M16" s="8"/>
      <c r="N16" s="8"/>
      <c r="O16" s="8"/>
      <c r="P16" s="8"/>
      <c r="Q16" s="8"/>
      <c r="R16" s="8"/>
      <c r="S16" s="8"/>
      <c r="T16" s="8"/>
      <c r="U16" s="8"/>
      <c r="V16" s="8"/>
      <c r="W16" s="8"/>
      <c r="X16" s="8"/>
      <c r="Y16" s="8"/>
      <c r="Z16" s="8"/>
      <c r="AA16" s="8"/>
      <c r="AB16" s="8"/>
      <c r="AC16" s="8"/>
      <c r="AD16" s="8"/>
      <c r="AE16" s="8"/>
      <c r="AF16" s="8"/>
    </row>
    <row r="17" spans="1:32">
      <c r="A17" s="8"/>
      <c r="B17" s="20"/>
      <c r="C17" s="20"/>
      <c r="D17" s="20"/>
      <c r="E17" s="20"/>
      <c r="F17" s="8"/>
      <c r="G17" s="8"/>
      <c r="H17" s="8"/>
      <c r="I17" s="8"/>
      <c r="J17" s="8"/>
      <c r="K17" s="8"/>
      <c r="L17" s="8"/>
      <c r="M17" s="8"/>
      <c r="N17" s="8"/>
      <c r="O17" s="8"/>
      <c r="P17" s="8"/>
      <c r="Q17" s="8"/>
      <c r="R17" s="8"/>
      <c r="S17" s="8"/>
      <c r="T17" s="8"/>
      <c r="U17" s="8"/>
      <c r="V17" s="8"/>
      <c r="W17" s="8"/>
      <c r="X17" s="8"/>
      <c r="Y17" s="8"/>
      <c r="Z17" s="8"/>
      <c r="AA17" s="8"/>
      <c r="AB17" s="8"/>
      <c r="AC17" s="8"/>
      <c r="AD17" s="8"/>
      <c r="AE17" s="8"/>
      <c r="AF17" s="8"/>
    </row>
    <row r="18" spans="1:32">
      <c r="A18" s="8"/>
      <c r="B18" s="20"/>
      <c r="C18" s="20"/>
      <c r="D18" s="20"/>
      <c r="E18" s="20"/>
      <c r="F18" s="8"/>
      <c r="G18" s="8"/>
      <c r="H18" s="8"/>
      <c r="I18" s="8"/>
      <c r="J18" s="8"/>
      <c r="K18" s="8"/>
      <c r="L18" s="8"/>
      <c r="M18" s="8"/>
      <c r="N18" s="8"/>
      <c r="O18" s="8"/>
      <c r="P18" s="8"/>
      <c r="Q18" s="8"/>
      <c r="R18" s="8"/>
      <c r="S18" s="8"/>
      <c r="T18" s="8"/>
      <c r="U18" s="8"/>
      <c r="V18" s="8"/>
      <c r="W18" s="8"/>
      <c r="X18" s="8"/>
      <c r="Y18" s="8"/>
      <c r="Z18" s="8"/>
      <c r="AA18" s="8"/>
      <c r="AB18" s="8"/>
      <c r="AC18" s="8"/>
      <c r="AD18" s="8"/>
      <c r="AE18" s="8"/>
      <c r="AF1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751D-99CD-4E38-83A7-64DDA17168D8}">
  <dimension ref="A1:AI25"/>
  <sheetViews>
    <sheetView workbookViewId="0">
      <selection activeCell="P2" sqref="P2"/>
    </sheetView>
  </sheetViews>
  <sheetFormatPr defaultColWidth="11.42578125" defaultRowHeight="15"/>
  <cols>
    <col min="2" max="2" width="40.140625" style="16" customWidth="1"/>
    <col min="3" max="3" width="31.5703125" style="16" customWidth="1"/>
    <col min="4" max="5" width="26.28515625" style="16" customWidth="1"/>
    <col min="6" max="6" width="19.5703125" customWidth="1"/>
    <col min="7" max="7" width="24.7109375" customWidth="1"/>
    <col min="9" max="10" width="16.7109375" customWidth="1"/>
    <col min="11" max="11" width="32.5703125" customWidth="1"/>
    <col min="12" max="12" width="38" customWidth="1"/>
    <col min="13" max="13" width="21.5703125" customWidth="1"/>
    <col min="14" max="14" width="23" customWidth="1"/>
    <col min="15" max="15" width="17.5703125" customWidth="1"/>
    <col min="16" max="16" width="23.28515625" customWidth="1"/>
    <col min="20" max="20" width="18.7109375" customWidth="1"/>
    <col min="21" max="21" width="19.85546875" customWidth="1"/>
    <col min="22" max="22" width="93.28515625" customWidth="1"/>
    <col min="25" max="25" width="20.85546875" customWidth="1"/>
    <col min="27" max="27" width="14.7109375" customWidth="1"/>
    <col min="28" max="28" width="19.140625" customWidth="1"/>
    <col min="30" max="30" width="19.5703125" customWidth="1"/>
    <col min="31" max="31" width="25.7109375" customWidth="1"/>
  </cols>
  <sheetData>
    <row r="1" spans="1:35" ht="46.5" thickTop="1" thickBot="1">
      <c r="A1" s="1" t="s">
        <v>64</v>
      </c>
      <c r="B1" s="22" t="s">
        <v>1</v>
      </c>
      <c r="C1" s="22" t="s">
        <v>2</v>
      </c>
      <c r="D1" s="22" t="s">
        <v>3</v>
      </c>
      <c r="E1" s="22" t="s">
        <v>4</v>
      </c>
      <c r="F1" s="1" t="s">
        <v>5</v>
      </c>
      <c r="G1" s="1" t="s">
        <v>6</v>
      </c>
      <c r="H1" s="1" t="s">
        <v>7</v>
      </c>
      <c r="I1" s="1" t="s">
        <v>65</v>
      </c>
      <c r="J1" s="5" t="s">
        <v>9</v>
      </c>
      <c r="K1" s="1" t="s">
        <v>66</v>
      </c>
      <c r="L1" s="1" t="s">
        <v>10</v>
      </c>
      <c r="M1" s="3" t="s">
        <v>11</v>
      </c>
      <c r="N1" s="3" t="s">
        <v>13</v>
      </c>
      <c r="O1" s="3" t="s">
        <v>14</v>
      </c>
      <c r="P1" s="3" t="s">
        <v>15</v>
      </c>
      <c r="Q1" s="1" t="s">
        <v>16</v>
      </c>
      <c r="R1" s="1" t="s">
        <v>67</v>
      </c>
      <c r="S1" s="1" t="s">
        <v>68</v>
      </c>
      <c r="T1" s="1" t="s">
        <v>55</v>
      </c>
      <c r="U1" s="1" t="s">
        <v>69</v>
      </c>
      <c r="V1" s="1" t="s">
        <v>26</v>
      </c>
      <c r="W1" s="1" t="s">
        <v>27</v>
      </c>
      <c r="X1" s="1" t="s">
        <v>28</v>
      </c>
      <c r="Y1" s="1" t="s">
        <v>29</v>
      </c>
      <c r="Z1" s="1" t="s">
        <v>30</v>
      </c>
      <c r="AA1" s="5" t="s">
        <v>31</v>
      </c>
      <c r="AB1" s="2" t="s">
        <v>32</v>
      </c>
      <c r="AC1" s="1" t="s">
        <v>33</v>
      </c>
      <c r="AD1" s="5" t="s">
        <v>35</v>
      </c>
      <c r="AE1" s="1" t="s">
        <v>36</v>
      </c>
      <c r="AF1" s="5" t="s">
        <v>37</v>
      </c>
      <c r="AG1" s="5" t="s">
        <v>38</v>
      </c>
      <c r="AH1" s="5" t="s">
        <v>70</v>
      </c>
      <c r="AI1" s="5" t="s">
        <v>71</v>
      </c>
    </row>
    <row r="2" spans="1:35">
      <c r="A2" s="1" t="s">
        <v>39</v>
      </c>
      <c r="B2" s="22" t="s">
        <v>39</v>
      </c>
      <c r="C2" s="22" t="s">
        <v>39</v>
      </c>
      <c r="D2" s="22" t="s">
        <v>39</v>
      </c>
      <c r="E2" s="22" t="s">
        <v>39</v>
      </c>
      <c r="F2" s="1" t="s">
        <v>40</v>
      </c>
      <c r="G2" s="1" t="s">
        <v>39</v>
      </c>
      <c r="H2" s="1" t="s">
        <v>39</v>
      </c>
      <c r="I2" s="1" t="s">
        <v>39</v>
      </c>
      <c r="J2" s="5" t="s">
        <v>41</v>
      </c>
      <c r="K2" s="1" t="s">
        <v>39</v>
      </c>
      <c r="L2" s="1" t="s">
        <v>40</v>
      </c>
      <c r="M2" s="3" t="s">
        <v>41</v>
      </c>
      <c r="N2" s="3" t="s">
        <v>41</v>
      </c>
      <c r="O2" s="3" t="s">
        <v>41</v>
      </c>
      <c r="P2" s="3" t="s">
        <v>41</v>
      </c>
      <c r="Q2" s="1" t="s">
        <v>41</v>
      </c>
      <c r="R2" s="1" t="s">
        <v>41</v>
      </c>
      <c r="S2" s="1" t="s">
        <v>41</v>
      </c>
      <c r="T2" s="1" t="s">
        <v>41</v>
      </c>
      <c r="U2" s="1" t="s">
        <v>41</v>
      </c>
      <c r="V2" s="1" t="s">
        <v>39</v>
      </c>
      <c r="W2" s="1" t="s">
        <v>41</v>
      </c>
      <c r="X2" s="1" t="s">
        <v>41</v>
      </c>
      <c r="Y2" s="1" t="s">
        <v>40</v>
      </c>
      <c r="Z2" s="1" t="s">
        <v>42</v>
      </c>
      <c r="AA2" s="11" t="s">
        <v>41</v>
      </c>
      <c r="AB2" s="1" t="s">
        <v>39</v>
      </c>
      <c r="AC2" s="1" t="s">
        <v>39</v>
      </c>
      <c r="AD2" s="11" t="s">
        <v>41</v>
      </c>
      <c r="AE2" s="9" t="s">
        <v>40</v>
      </c>
      <c r="AF2" s="11" t="s">
        <v>40</v>
      </c>
      <c r="AG2" s="11" t="s">
        <v>40</v>
      </c>
      <c r="AH2" s="11" t="s">
        <v>39</v>
      </c>
      <c r="AI2" s="11" t="s">
        <v>39</v>
      </c>
    </row>
    <row r="3" spans="1:35" ht="105.75" thickTop="1">
      <c r="A3" s="12">
        <v>703</v>
      </c>
      <c r="B3" s="18" t="s">
        <v>72</v>
      </c>
      <c r="C3" s="18" t="s">
        <v>73</v>
      </c>
      <c r="D3" s="18" t="s">
        <v>74</v>
      </c>
      <c r="E3" s="18" t="s">
        <v>60</v>
      </c>
      <c r="F3" s="12">
        <v>0</v>
      </c>
      <c r="G3" s="12">
        <v>1</v>
      </c>
      <c r="H3" s="12">
        <v>2</v>
      </c>
      <c r="I3" s="12" t="s">
        <v>75</v>
      </c>
      <c r="J3" s="12">
        <v>3</v>
      </c>
      <c r="K3" s="12" t="s">
        <v>76</v>
      </c>
      <c r="L3" s="15" t="s">
        <v>77</v>
      </c>
      <c r="M3" s="12">
        <v>0</v>
      </c>
      <c r="N3" s="12">
        <v>250000000</v>
      </c>
      <c r="O3" s="12">
        <f>1-(P3/N3)</f>
        <v>7.999999999999996E-2</v>
      </c>
      <c r="P3" s="12">
        <v>230000000</v>
      </c>
      <c r="Q3" s="12">
        <v>2000</v>
      </c>
      <c r="R3" s="12">
        <v>8.5</v>
      </c>
      <c r="S3" s="12">
        <v>200</v>
      </c>
      <c r="T3" s="12">
        <v>875000</v>
      </c>
      <c r="U3" s="12">
        <v>5500000</v>
      </c>
      <c r="V3" s="15" t="s">
        <v>78</v>
      </c>
      <c r="W3" s="12">
        <v>3.452655</v>
      </c>
      <c r="X3" s="12">
        <v>-75.471118000000004</v>
      </c>
      <c r="Y3" s="12">
        <v>2</v>
      </c>
      <c r="Z3" s="14">
        <v>44524</v>
      </c>
      <c r="AA3" s="12">
        <v>1</v>
      </c>
      <c r="AB3" s="12">
        <v>3203135121</v>
      </c>
      <c r="AC3" s="12" t="s">
        <v>60</v>
      </c>
      <c r="AD3" s="12">
        <v>185000000</v>
      </c>
      <c r="AE3" s="12">
        <v>2</v>
      </c>
      <c r="AF3" s="12">
        <v>2</v>
      </c>
      <c r="AG3" s="12">
        <v>4</v>
      </c>
      <c r="AH3" s="12" t="s">
        <v>79</v>
      </c>
      <c r="AI3" s="12" t="s">
        <v>60</v>
      </c>
    </row>
    <row r="4" spans="1:35">
      <c r="A4" s="8"/>
      <c r="B4" s="20"/>
      <c r="C4" s="20"/>
      <c r="D4" s="20"/>
      <c r="E4" s="20"/>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row>
    <row r="5" spans="1:35">
      <c r="A5" s="8"/>
      <c r="B5" s="20"/>
      <c r="C5" s="20"/>
      <c r="D5" s="20"/>
      <c r="E5" s="20"/>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row>
    <row r="6" spans="1:35">
      <c r="A6" s="8"/>
      <c r="B6" s="20"/>
      <c r="C6" s="20"/>
      <c r="D6" s="20"/>
      <c r="E6" s="20"/>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row>
    <row r="7" spans="1:35">
      <c r="A7" s="8"/>
      <c r="B7" s="20"/>
      <c r="C7" s="20"/>
      <c r="D7" s="20"/>
      <c r="E7" s="20"/>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row>
    <row r="8" spans="1:35">
      <c r="A8" s="8"/>
      <c r="B8" s="20"/>
      <c r="C8" s="20"/>
      <c r="D8" s="20"/>
      <c r="E8" s="20"/>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row>
    <row r="9" spans="1:35">
      <c r="A9" s="8"/>
      <c r="B9" s="20"/>
      <c r="C9" s="20"/>
      <c r="D9" s="20"/>
      <c r="E9" s="20"/>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row>
    <row r="10" spans="1:35">
      <c r="A10" s="8"/>
      <c r="B10" s="21"/>
      <c r="C10" s="20"/>
      <c r="D10" s="20"/>
      <c r="E10" s="20"/>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row>
    <row r="11" spans="1:35">
      <c r="A11" s="8"/>
      <c r="B11" s="20"/>
      <c r="C11" s="20"/>
      <c r="D11" s="20"/>
      <c r="E11" s="20"/>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row>
    <row r="12" spans="1:35">
      <c r="A12" s="8"/>
      <c r="B12" s="18"/>
      <c r="C12" s="20"/>
      <c r="D12" s="20"/>
      <c r="E12" s="20"/>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spans="1:35">
      <c r="A13" s="8"/>
      <c r="B13" s="20"/>
      <c r="C13" s="20"/>
      <c r="D13" s="20"/>
      <c r="E13" s="20"/>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row>
    <row r="14" spans="1:35">
      <c r="A14" s="8"/>
      <c r="B14" s="20"/>
      <c r="C14" s="20"/>
      <c r="D14" s="20"/>
      <c r="E14" s="20"/>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row>
    <row r="15" spans="1:35">
      <c r="A15" s="8"/>
      <c r="B15" s="20"/>
      <c r="C15" s="20"/>
      <c r="D15" s="20"/>
      <c r="E15" s="20"/>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row>
    <row r="16" spans="1:35">
      <c r="A16" s="8"/>
      <c r="B16" s="20"/>
      <c r="C16" s="20"/>
      <c r="D16" s="20"/>
      <c r="E16" s="20"/>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row>
    <row r="17" spans="1:35">
      <c r="A17" s="8"/>
      <c r="B17" s="20"/>
      <c r="C17" s="20"/>
      <c r="D17" s="20"/>
      <c r="E17" s="20"/>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row>
    <row r="18" spans="1:35">
      <c r="A18" s="8"/>
      <c r="B18" s="20"/>
      <c r="C18" s="20"/>
      <c r="D18" s="20"/>
      <c r="E18" s="20"/>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row>
    <row r="19" spans="1:35">
      <c r="A19" s="8"/>
      <c r="B19" s="20"/>
      <c r="C19" s="20"/>
      <c r="D19" s="20"/>
      <c r="E19" s="20"/>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row>
    <row r="20" spans="1:35">
      <c r="A20" s="8"/>
      <c r="B20" s="20"/>
      <c r="C20" s="20"/>
      <c r="D20" s="20"/>
      <c r="E20" s="20"/>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row>
    <row r="21" spans="1:35">
      <c r="A21" s="8"/>
      <c r="B21" s="20"/>
      <c r="C21" s="20"/>
      <c r="D21" s="20"/>
      <c r="E21" s="20"/>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row>
    <row r="22" spans="1:35">
      <c r="A22" s="8"/>
      <c r="B22" s="20"/>
      <c r="C22" s="20"/>
      <c r="D22" s="20"/>
      <c r="E22" s="20"/>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row>
    <row r="23" spans="1:35">
      <c r="A23" s="8"/>
      <c r="B23" s="20"/>
      <c r="C23" s="20"/>
      <c r="D23" s="20"/>
      <c r="E23" s="20"/>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row>
    <row r="24" spans="1:35">
      <c r="A24" s="8"/>
      <c r="B24" s="20"/>
      <c r="C24" s="20"/>
      <c r="D24" s="20"/>
      <c r="E24" s="20"/>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row>
    <row r="25" spans="1:35">
      <c r="A25" s="8"/>
      <c r="B25" s="20"/>
      <c r="C25" s="20"/>
      <c r="D25" s="20"/>
      <c r="E25" s="20"/>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row>
  </sheetData>
  <phoneticPr fontId="30" type="noConversion"/>
  <pageMargins left="0.7" right="0.7" top="0.75" bottom="0.75" header="0.3" footer="0.3"/>
  <pageSetup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A457-6840-4E37-A140-252954CFA05D}">
  <dimension ref="B1:C14"/>
  <sheetViews>
    <sheetView zoomScale="80" zoomScaleNormal="80" workbookViewId="0">
      <selection activeCell="B5" sqref="B5:C5"/>
    </sheetView>
  </sheetViews>
  <sheetFormatPr defaultColWidth="11.42578125" defaultRowHeight="15"/>
  <cols>
    <col min="2" max="2" width="26.140625" customWidth="1"/>
    <col min="3" max="3" width="147.5703125" customWidth="1"/>
  </cols>
  <sheetData>
    <row r="1" spans="2:3">
      <c r="B1" s="30" t="s">
        <v>80</v>
      </c>
      <c r="C1" s="30"/>
    </row>
    <row r="2" spans="2:3">
      <c r="B2" s="30" t="s">
        <v>81</v>
      </c>
      <c r="C2" s="30"/>
    </row>
    <row r="3" spans="2:3" ht="53.25" customHeight="1">
      <c r="B3" s="31" t="s">
        <v>82</v>
      </c>
      <c r="C3" s="31"/>
    </row>
    <row r="4" spans="2:3" ht="168.6" customHeight="1">
      <c r="B4" s="31" t="s">
        <v>83</v>
      </c>
      <c r="C4" s="31"/>
    </row>
    <row r="5" spans="2:3" ht="33" customHeight="1" thickBot="1">
      <c r="B5" s="32" t="s">
        <v>84</v>
      </c>
      <c r="C5" s="33"/>
    </row>
    <row r="6" spans="2:3" ht="40.5" customHeight="1" thickTop="1" thickBot="1">
      <c r="B6" s="1" t="s">
        <v>85</v>
      </c>
      <c r="C6" s="2" t="s">
        <v>86</v>
      </c>
    </row>
    <row r="7" spans="2:3" ht="140.25" customHeight="1" thickTop="1" thickBot="1">
      <c r="B7" s="3" t="s">
        <v>87</v>
      </c>
      <c r="C7" s="4" t="s">
        <v>88</v>
      </c>
    </row>
    <row r="8" spans="2:3" ht="16.5" thickTop="1" thickBot="1">
      <c r="B8" s="5" t="s">
        <v>89</v>
      </c>
      <c r="C8" s="6" t="s">
        <v>90</v>
      </c>
    </row>
    <row r="9" spans="2:3" ht="15.75" thickTop="1"/>
    <row r="10" spans="2:3">
      <c r="C10" s="7"/>
    </row>
    <row r="14" spans="2:3" ht="14.25" customHeight="1"/>
  </sheetData>
  <mergeCells count="5">
    <mergeCell ref="B1:C1"/>
    <mergeCell ref="B2:C2"/>
    <mergeCell ref="B3:C3"/>
    <mergeCell ref="B4:C4"/>
    <mergeCell ref="B5:C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4F875B922180C418F2AF9533453ADD0" ma:contentTypeVersion="18" ma:contentTypeDescription="Crear nuevo documento." ma:contentTypeScope="" ma:versionID="3f6eb98217451847d1b56057f4bce04e">
  <xsd:schema xmlns:xsd="http://www.w3.org/2001/XMLSchema" xmlns:xs="http://www.w3.org/2001/XMLSchema" xmlns:p="http://schemas.microsoft.com/office/2006/metadata/properties" xmlns:ns1="http://schemas.microsoft.com/sharepoint/v3" xmlns:ns2="a1eba0c2-f36b-4651-b166-321005ef9bd5" xmlns:ns3="33cb08ec-2bec-4dfa-b9c2-99b974eb307a" targetNamespace="http://schemas.microsoft.com/office/2006/metadata/properties" ma:root="true" ma:fieldsID="3e0053294a4834ba12831dfb3576e909" ns1:_="" ns2:_="" ns3:_="">
    <xsd:import namespace="http://schemas.microsoft.com/sharepoint/v3"/>
    <xsd:import namespace="a1eba0c2-f36b-4651-b166-321005ef9bd5"/>
    <xsd:import namespace="33cb08ec-2bec-4dfa-b9c2-99b974eb30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element ref="ns2:_Flow_SignoffStatu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eba0c2-f36b-4651-b166-321005ef9b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cb08ec-2bec-4dfa-b9c2-99b974eb307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0146ab59-1936-426a-b3a3-2b186f64b247}" ma:internalName="TaxCatchAll" ma:showField="CatchAllData" ma:web="33cb08ec-2bec-4dfa-b9c2-99b974eb30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eba0c2-f36b-4651-b166-321005ef9bd5">
      <Terms xmlns="http://schemas.microsoft.com/office/infopath/2007/PartnerControls"/>
    </lcf76f155ced4ddcb4097134ff3c332f>
    <TaxCatchAll xmlns="33cb08ec-2bec-4dfa-b9c2-99b974eb307a" xsi:nil="true"/>
    <_Flow_SignoffStatus xmlns="a1eba0c2-f36b-4651-b166-321005ef9bd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8BDC97-D032-4713-A7EF-C7A8B19FD8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1eba0c2-f36b-4651-b166-321005ef9bd5"/>
    <ds:schemaRef ds:uri="33cb08ec-2bec-4dfa-b9c2-99b974eb30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8AB240-860F-4346-914B-6310FB13AD9E}">
  <ds:schemaRefs>
    <ds:schemaRef ds:uri="http://schemas.microsoft.com/office/2006/metadata/properties"/>
    <ds:schemaRef ds:uri="http://schemas.microsoft.com/office/infopath/2007/PartnerControls"/>
    <ds:schemaRef ds:uri="a1eba0c2-f36b-4651-b166-321005ef9bd5"/>
    <ds:schemaRef ds:uri="33cb08ec-2bec-4dfa-b9c2-99b974eb307a"/>
    <ds:schemaRef ds:uri="http://schemas.microsoft.com/sharepoint/v3"/>
  </ds:schemaRefs>
</ds:datastoreItem>
</file>

<file path=customXml/itemProps3.xml><?xml version="1.0" encoding="utf-8"?>
<ds:datastoreItem xmlns:ds="http://schemas.openxmlformats.org/officeDocument/2006/customXml" ds:itemID="{C102D0FB-C0FD-414E-8250-B5D9BC6432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vt:lpstr>
      <vt:lpstr>NPH</vt:lpstr>
      <vt:lpstr>RURAL</vt:lpstr>
      <vt:lpstr>ESPECIFICACIONES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carlos cardozo nuñez</dc:creator>
  <cp:keywords/>
  <dc:description/>
  <cp:lastModifiedBy>Nataly Alejandra Sarmiento Ospina</cp:lastModifiedBy>
  <cp:revision/>
  <dcterms:created xsi:type="dcterms:W3CDTF">2021-11-23T19:52:39Z</dcterms:created>
  <dcterms:modified xsi:type="dcterms:W3CDTF">2024-10-09T22:07:38Z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0x01010064F875B922180C418F2AF9533453ADD0</vt:lpwstr>
  </property>
  <property fmtid="{D5CDD505-2E9C-101B-9397-08002B2CF9AE}" pid="3" name="MediaServiceImageTags">
    <vt:lpwstr/>
  </property>
</Properties>
</file>