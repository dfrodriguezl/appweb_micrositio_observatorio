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727"/>
  <workbookPr/>
  <mc:AlternateContent xmlns:mc="http://schemas.openxmlformats.org/markup-compatibility/2006">
    <mc:Choice Requires="x15">
      <x15ac:absPath xmlns:x15ac="http://schemas.microsoft.com/office/spreadsheetml/2010/11/ac" url="C:\Users\ASUS\Desktop\"/>
    </mc:Choice>
  </mc:AlternateContent>
  <xr:revisionPtr revIDLastSave="0" documentId="13_ncr:1_{6A75B2A5-61CB-4E9A-97B9-6AC4B732C83C}" xr6:coauthVersionLast="43" xr6:coauthVersionMax="43" xr10:uidLastSave="{00000000-0000-0000-0000-000000000000}"/>
  <bookViews>
    <workbookView xWindow="-120" yWindow="-120" windowWidth="29040" windowHeight="15840" xr2:uid="{00000000-000D-0000-FFFF-FFFF00000000}"/>
  </bookViews>
  <sheets>
    <sheet name="PH" sheetId="1" r:id="rId1"/>
    <sheet name="NPH" sheetId="2" r:id="rId2"/>
    <sheet name="RURAL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N3" i="3" l="1"/>
  <c r="M3" i="2"/>
  <c r="N3" i="1"/>
</calcChain>
</file>

<file path=xl/sharedStrings.xml><?xml version="1.0" encoding="utf-8"?>
<sst xmlns="http://schemas.openxmlformats.org/spreadsheetml/2006/main" count="236" uniqueCount="79">
  <si>
    <t>ID_OFERTA_PH</t>
  </si>
  <si>
    <t>NUMERO_PREDIAL_ANTIGUO</t>
  </si>
  <si>
    <t>MATRICULA_INMOBILIARIA</t>
  </si>
  <si>
    <t>DEPARTAMENTO</t>
  </si>
  <si>
    <t>MUNICIPIO</t>
  </si>
  <si>
    <t>NOMBRE_BARRIO</t>
  </si>
  <si>
    <t>ESTRATO</t>
  </si>
  <si>
    <t>VALOR_ARRIENDO</t>
  </si>
  <si>
    <t>VALOR_ADMINISTRACION</t>
  </si>
  <si>
    <t>VALOR_OFERTA_VENTA</t>
  </si>
  <si>
    <t>ANIO_CONSTRUCCION</t>
  </si>
  <si>
    <t>OBSERVACIONES</t>
  </si>
  <si>
    <t>LATITUD</t>
  </si>
  <si>
    <t>LONGITUD</t>
  </si>
  <si>
    <t>CONSERVACION</t>
  </si>
  <si>
    <t>FECHA_CAPTURA_OFERTA</t>
  </si>
  <si>
    <t>TIEMPO_OFERTA_MERCADO</t>
  </si>
  <si>
    <t>NUMERO_CONTACTO_OFERENTE</t>
  </si>
  <si>
    <t>NOMBRE_OFERENTE</t>
  </si>
  <si>
    <t>COEFICIENTE</t>
  </si>
  <si>
    <t>AVALUO_CATASTRAL</t>
  </si>
  <si>
    <t>DESTINACION_ECONOMICA</t>
  </si>
  <si>
    <t>DERECHO_TIPO</t>
  </si>
  <si>
    <t>TIPO_TIPOLOGIA</t>
  </si>
  <si>
    <t>String</t>
  </si>
  <si>
    <t>Dominio</t>
  </si>
  <si>
    <t>Number</t>
  </si>
  <si>
    <t>Date</t>
  </si>
  <si>
    <t>Cundinamarca</t>
  </si>
  <si>
    <t>Bogota</t>
  </si>
  <si>
    <t>Las ferias</t>
  </si>
  <si>
    <t>cra 69 # 74-16</t>
  </si>
  <si>
    <t>Apto de 85 m2 de área privada, torre esquinera, 3 habitaciones, sala comedor, 1 balcon de 5 m2 aprox, 1 garaje cubierto y 1 deposito. Conjunto Club house, con piscina, gym, sala de juntas, zonas humedas.</t>
  </si>
  <si>
    <t>Ricardo Leon</t>
  </si>
  <si>
    <t>ID_OFERTA_NPH</t>
  </si>
  <si>
    <t>Estrato</t>
  </si>
  <si>
    <t>string</t>
  </si>
  <si>
    <t>calle  78 # 70-22</t>
  </si>
  <si>
    <t>Vendo casa para remodelar o para construir proyecto. area de lote ciento ochenta y dos metros cuadrados. Esta rodeada por grandes vias de acceso, como las Avenidas calles setenta y dos, ochenta, Boyaca, carrera sesenta y ocho y Rojas. Cerca de centros comerciales, tiendas de cadena, parques, plaza de mercado y comercio en general. Sector comercial y residencial.</t>
  </si>
  <si>
    <t>Rafael Rodriguez</t>
  </si>
  <si>
    <t>ID_OFERTA_RURAL</t>
  </si>
  <si>
    <t>NOMBRE_VERERDA</t>
  </si>
  <si>
    <t>TIPO_INMUEBLES</t>
  </si>
  <si>
    <t>VALOR_OFERTA_NEGOCIADO</t>
  </si>
  <si>
    <t>AREA_TERRENO</t>
  </si>
  <si>
    <t>VR_M2_CONST</t>
  </si>
  <si>
    <t>VR_Ha_TERRENO</t>
  </si>
  <si>
    <t>TIPO_CULTIVOS</t>
  </si>
  <si>
    <t>CONSTRUCCIONES_ANEXAS</t>
  </si>
  <si>
    <t>Guaduas</t>
  </si>
  <si>
    <t>La Cumbre</t>
  </si>
  <si>
    <t>Finca cafetera y ganadera</t>
  </si>
  <si>
    <t>Vereda La Cumbre 2km Escuela La Cumbre, Guaduas, Cundinamarca</t>
  </si>
  <si>
    <t>FINCA 8.5 Aproximado HECTAREAS CON BUENOS PASTOS (4 Hectáreas) , CAFE (1.5 Hectáreas) Y BOSQUES NATIVOS PARA SENDERISMO (1.0 Hectáreas),CON AGUA NACEDERO VERANERO, Oportunidad de acueducto veredal, CON COMPRA GARANTIZADA A PRECIO POR ENCIMA DEL PRECIO BASE EMITIDO POR LA FEDERACIÓN NACIONAL DE CAFETEROS. CASA RUSTICA PARA VIVIENDA. CULTIVO DE CAÑA Y PASTO DE CORTE, PRECIO NEGOCIABLE, SOLO SE RECIBE 50 % EN PERMUTA EN VIVIENDA ZONA META O GUADUAS. SIN INTERMEDIARIOS, CAMINO VEREDAL HASTA LA FINCA Carreteable, 3.5Km de la via Ppal, CLIMA TEMPLADO 18 a25 Grados C, ALTURA APROX 1720 MSNM.</t>
  </si>
  <si>
    <t>Carlos</t>
  </si>
  <si>
    <t>Cafe</t>
  </si>
  <si>
    <t>A</t>
  </si>
  <si>
    <t>NUMERO_PREDIAL_NUEVO</t>
  </si>
  <si>
    <t>TIPO_OFERTA</t>
  </si>
  <si>
    <t>VALOR_DE_LA_OFERTA</t>
  </si>
  <si>
    <t>VR_M2_TERRENO</t>
  </si>
  <si>
    <t>ALTURA_EDIFICIO</t>
  </si>
  <si>
    <t>VALOR_GARAJES</t>
  </si>
  <si>
    <t>VALOR_DEPOSITOS</t>
  </si>
  <si>
    <t>DIRECCION</t>
  </si>
  <si>
    <t>No_PISO</t>
  </si>
  <si>
    <t>No_GARAJES</t>
  </si>
  <si>
    <t>AREA_CONSTRUCCION</t>
  </si>
  <si>
    <t>AREA_CONSTRUIDA_m2</t>
  </si>
  <si>
    <t>AREA_PRIVADA_m2</t>
  </si>
  <si>
    <t>No_DEPOSITOS</t>
  </si>
  <si>
    <t>PORCENTAJE_DE_NEGOCIACION</t>
  </si>
  <si>
    <t>VR_TOTAL_TERRAZA_BALCON_O_PATIO</t>
  </si>
  <si>
    <t>10100000005001500000</t>
  </si>
  <si>
    <t>101000500150001234567891234567</t>
  </si>
  <si>
    <t>731680002005300000001234567890</t>
  </si>
  <si>
    <t>198954012345</t>
  </si>
  <si>
    <t>188953012345</t>
  </si>
  <si>
    <t>193453012345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</si>
</sst>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"/>
  </numFmts>
  <fonts count="5">
    <font>
      <sz val="11"/>
      <color theme="1"/>
      <name val="Calibri"/>
      <family val="2"/>
      <scheme val="minor"/>
    </font>
    <font>
      <sz val="10"/>
      <color indexed="8"/>
      <name val="Trebuchet MS"/>
      <family val="2"/>
    </font>
    <font>
      <sz val="11"/>
      <color theme="1"/>
      <name val="Calibri"/>
      <family val="2"/>
    </font>
    <font>
      <sz val="11"/>
      <color theme="1"/>
      <name val="Swis721 LtEx BT"/>
      <family val="2"/>
    </font>
    <font>
      <sz val="10"/>
      <color theme="1"/>
      <name val="Century Gothic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</cellXfs>
  <cellStyles count="2">
    <cellStyle name="Normal" xfId="0" builtinId="0"/>
    <cellStyle name="Normal 2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"/>
  <sheetViews>
    <sheetView tabSelected="1" zoomScale="60" zoomScaleNormal="60" workbookViewId="0">
      <selection activeCell="B26" sqref="B26"/>
    </sheetView>
  </sheetViews>
  <sheetFormatPr baseColWidth="10" defaultRowHeight="15"/>
  <cols>
    <col min="2" max="2" width="25.28515625" customWidth="1"/>
    <col min="3" max="3" width="15" bestFit="1" customWidth="1"/>
    <col min="4" max="4" width="14.7109375" bestFit="1" customWidth="1"/>
  </cols>
  <sheetData>
    <row r="1" spans="1:38" ht="61.5" thickTop="1" thickBot="1">
      <c r="A1" s="1" t="s">
        <v>0</v>
      </c>
      <c r="B1" s="2" t="s">
        <v>1</v>
      </c>
      <c r="C1" s="2" t="s">
        <v>57</v>
      </c>
      <c r="D1" s="3" t="s">
        <v>2</v>
      </c>
      <c r="E1" s="4" t="s">
        <v>58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64</v>
      </c>
      <c r="K1" s="5" t="s">
        <v>7</v>
      </c>
      <c r="L1" s="4" t="s">
        <v>8</v>
      </c>
      <c r="M1" s="5" t="s">
        <v>9</v>
      </c>
      <c r="N1" s="5" t="s">
        <v>71</v>
      </c>
      <c r="O1" s="5" t="s">
        <v>43</v>
      </c>
      <c r="P1" s="4" t="s">
        <v>10</v>
      </c>
      <c r="Q1" s="4" t="s">
        <v>61</v>
      </c>
      <c r="R1" s="4" t="s">
        <v>65</v>
      </c>
      <c r="S1" s="6" t="s">
        <v>68</v>
      </c>
      <c r="T1" s="4" t="s">
        <v>69</v>
      </c>
      <c r="U1" s="6" t="s">
        <v>66</v>
      </c>
      <c r="V1" s="6" t="s">
        <v>70</v>
      </c>
      <c r="W1" s="6" t="s">
        <v>72</v>
      </c>
      <c r="X1" s="6" t="s">
        <v>62</v>
      </c>
      <c r="Y1" s="6" t="s">
        <v>63</v>
      </c>
      <c r="Z1" s="4" t="s">
        <v>11</v>
      </c>
      <c r="AA1" s="4" t="s">
        <v>12</v>
      </c>
      <c r="AB1" s="4" t="s">
        <v>13</v>
      </c>
      <c r="AC1" s="4" t="s">
        <v>14</v>
      </c>
      <c r="AD1" s="4" t="s">
        <v>15</v>
      </c>
      <c r="AE1" s="4" t="s">
        <v>16</v>
      </c>
      <c r="AF1" s="7" t="s">
        <v>17</v>
      </c>
      <c r="AG1" s="4" t="s">
        <v>18</v>
      </c>
      <c r="AH1" s="6" t="s">
        <v>19</v>
      </c>
      <c r="AI1" s="6" t="s">
        <v>20</v>
      </c>
      <c r="AJ1" s="4" t="s">
        <v>21</v>
      </c>
      <c r="AK1" s="6" t="s">
        <v>22</v>
      </c>
      <c r="AL1" s="6" t="s">
        <v>23</v>
      </c>
    </row>
    <row r="2" spans="1:38" ht="15.75" thickTop="1">
      <c r="A2" s="8" t="s">
        <v>24</v>
      </c>
      <c r="B2" s="9" t="s">
        <v>24</v>
      </c>
      <c r="C2" s="9" t="s">
        <v>24</v>
      </c>
      <c r="D2" s="10" t="s">
        <v>24</v>
      </c>
      <c r="E2" s="11" t="s">
        <v>25</v>
      </c>
      <c r="F2" s="11" t="s">
        <v>24</v>
      </c>
      <c r="G2" s="11" t="s">
        <v>24</v>
      </c>
      <c r="H2" s="11" t="s">
        <v>24</v>
      </c>
      <c r="I2" s="11" t="s">
        <v>26</v>
      </c>
      <c r="J2" s="11" t="s">
        <v>24</v>
      </c>
      <c r="K2" s="12" t="s">
        <v>26</v>
      </c>
      <c r="L2" s="11" t="s">
        <v>26</v>
      </c>
      <c r="M2" s="12" t="s">
        <v>26</v>
      </c>
      <c r="N2" s="12" t="s">
        <v>26</v>
      </c>
      <c r="O2" s="12" t="s">
        <v>24</v>
      </c>
      <c r="P2" s="11" t="s">
        <v>26</v>
      </c>
      <c r="Q2" s="11" t="s">
        <v>26</v>
      </c>
      <c r="R2" s="11" t="s">
        <v>26</v>
      </c>
      <c r="S2" s="13" t="s">
        <v>26</v>
      </c>
      <c r="T2" s="11" t="s">
        <v>26</v>
      </c>
      <c r="U2" s="13" t="s">
        <v>26</v>
      </c>
      <c r="V2" s="13" t="s">
        <v>26</v>
      </c>
      <c r="W2" s="13" t="s">
        <v>26</v>
      </c>
      <c r="X2" s="13" t="s">
        <v>26</v>
      </c>
      <c r="Y2" s="13" t="s">
        <v>26</v>
      </c>
      <c r="Z2" s="11" t="s">
        <v>24</v>
      </c>
      <c r="AA2" s="11" t="s">
        <v>24</v>
      </c>
      <c r="AB2" s="11" t="s">
        <v>24</v>
      </c>
      <c r="AC2" s="11" t="s">
        <v>25</v>
      </c>
      <c r="AD2" s="11" t="s">
        <v>27</v>
      </c>
      <c r="AE2" s="11" t="s">
        <v>26</v>
      </c>
      <c r="AF2" s="11" t="s">
        <v>24</v>
      </c>
      <c r="AG2" s="11" t="s">
        <v>24</v>
      </c>
      <c r="AH2" s="13" t="s">
        <v>26</v>
      </c>
      <c r="AI2" s="13" t="s">
        <v>26</v>
      </c>
      <c r="AJ2" s="11" t="s">
        <v>25</v>
      </c>
      <c r="AK2" s="13" t="s">
        <v>25</v>
      </c>
      <c r="AL2" s="13" t="s">
        <v>25</v>
      </c>
    </row>
    <row r="3" spans="1:38" ht="324">
      <c r="A3" s="14">
        <v>203</v>
      </c>
      <c r="B3" s="22" t="s">
        <v>73</v>
      </c>
      <c r="C3" s="23" t="s">
        <v>74</v>
      </c>
      <c r="D3" s="23" t="s">
        <v>76</v>
      </c>
      <c r="E3" s="14">
        <v>0</v>
      </c>
      <c r="F3" s="15" t="s">
        <v>28</v>
      </c>
      <c r="G3" s="15" t="s">
        <v>29</v>
      </c>
      <c r="H3" s="15" t="s">
        <v>30</v>
      </c>
      <c r="I3" s="14">
        <v>2</v>
      </c>
      <c r="J3" s="15" t="s">
        <v>31</v>
      </c>
      <c r="K3" s="14">
        <v>0</v>
      </c>
      <c r="L3" s="14">
        <v>120000</v>
      </c>
      <c r="M3" s="14">
        <v>40000000</v>
      </c>
      <c r="N3" s="14">
        <f t="shared" ref="N3" si="0">1-(O3/M3)</f>
        <v>5.5000000000000049E-2</v>
      </c>
      <c r="O3" s="14">
        <v>37800000</v>
      </c>
      <c r="P3" s="14">
        <v>1987</v>
      </c>
      <c r="Q3" s="14">
        <v>12</v>
      </c>
      <c r="R3" s="14">
        <v>3</v>
      </c>
      <c r="S3" s="14">
        <v>0</v>
      </c>
      <c r="T3" s="14">
        <v>85</v>
      </c>
      <c r="U3" s="14">
        <v>1</v>
      </c>
      <c r="V3" s="14">
        <v>1</v>
      </c>
      <c r="W3" s="14">
        <v>1</v>
      </c>
      <c r="X3" s="14">
        <v>160000</v>
      </c>
      <c r="Y3" s="14">
        <v>700000</v>
      </c>
      <c r="Z3" s="16" t="s">
        <v>32</v>
      </c>
      <c r="AA3" s="17">
        <v>4.6857309999999996</v>
      </c>
      <c r="AB3" s="17">
        <v>-74.084351999999996</v>
      </c>
      <c r="AC3" s="14">
        <v>2</v>
      </c>
      <c r="AD3" s="18">
        <v>44525</v>
      </c>
      <c r="AE3" s="14">
        <v>1</v>
      </c>
      <c r="AF3" s="14">
        <v>314567874</v>
      </c>
      <c r="AG3" s="15" t="s">
        <v>33</v>
      </c>
      <c r="AH3" s="19">
        <v>0.12</v>
      </c>
      <c r="AI3" s="14">
        <v>28000000</v>
      </c>
      <c r="AJ3" s="14">
        <v>7</v>
      </c>
      <c r="AK3" s="14">
        <v>2</v>
      </c>
      <c r="AL3" s="14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3"/>
  <sheetViews>
    <sheetView topLeftCell="A4" zoomScale="60" zoomScaleNormal="60" workbookViewId="0">
      <selection activeCell="B36" sqref="B36:B40"/>
    </sheetView>
  </sheetViews>
  <sheetFormatPr baseColWidth="10" defaultRowHeight="15"/>
  <cols>
    <col min="2" max="2" width="25.28515625" bestFit="1" customWidth="1"/>
    <col min="3" max="3" width="36.140625" bestFit="1" customWidth="1"/>
    <col min="4" max="4" width="14.85546875" bestFit="1" customWidth="1"/>
    <col min="5" max="5" width="7.85546875" bestFit="1" customWidth="1"/>
  </cols>
  <sheetData>
    <row r="1" spans="1:31" ht="46.5" thickTop="1" thickBot="1">
      <c r="A1" s="3" t="s">
        <v>34</v>
      </c>
      <c r="B1" s="4" t="s">
        <v>1</v>
      </c>
      <c r="C1" s="4" t="s">
        <v>57</v>
      </c>
      <c r="D1" s="3" t="s">
        <v>2</v>
      </c>
      <c r="E1" s="4" t="s">
        <v>58</v>
      </c>
      <c r="F1" s="4" t="s">
        <v>3</v>
      </c>
      <c r="G1" s="4" t="s">
        <v>4</v>
      </c>
      <c r="H1" s="4" t="s">
        <v>5</v>
      </c>
      <c r="I1" s="4" t="s">
        <v>35</v>
      </c>
      <c r="J1" s="4" t="s">
        <v>64</v>
      </c>
      <c r="K1" s="5" t="s">
        <v>7</v>
      </c>
      <c r="L1" s="5" t="s">
        <v>59</v>
      </c>
      <c r="M1" s="5" t="s">
        <v>71</v>
      </c>
      <c r="N1" s="5" t="s">
        <v>43</v>
      </c>
      <c r="O1" s="4" t="s">
        <v>10</v>
      </c>
      <c r="P1" s="4" t="s">
        <v>44</v>
      </c>
      <c r="Q1" s="4" t="s">
        <v>67</v>
      </c>
      <c r="R1" s="4" t="s">
        <v>45</v>
      </c>
      <c r="S1" s="4" t="s">
        <v>60</v>
      </c>
      <c r="T1" s="4" t="s">
        <v>11</v>
      </c>
      <c r="U1" s="4" t="s">
        <v>12</v>
      </c>
      <c r="V1" s="4" t="s">
        <v>13</v>
      </c>
      <c r="W1" s="4" t="s">
        <v>14</v>
      </c>
      <c r="X1" s="4" t="s">
        <v>15</v>
      </c>
      <c r="Y1" s="4" t="s">
        <v>16</v>
      </c>
      <c r="Z1" s="7" t="s">
        <v>17</v>
      </c>
      <c r="AA1" s="4" t="s">
        <v>18</v>
      </c>
      <c r="AB1" s="6" t="s">
        <v>20</v>
      </c>
      <c r="AC1" s="4" t="s">
        <v>21</v>
      </c>
      <c r="AD1" s="6" t="s">
        <v>22</v>
      </c>
      <c r="AE1" s="6" t="s">
        <v>23</v>
      </c>
    </row>
    <row r="2" spans="1:31" ht="16.5" thickTop="1" thickBot="1">
      <c r="A2" s="3" t="s">
        <v>24</v>
      </c>
      <c r="B2" s="4" t="s">
        <v>24</v>
      </c>
      <c r="C2" s="4" t="s">
        <v>24</v>
      </c>
      <c r="D2" s="3" t="s">
        <v>24</v>
      </c>
      <c r="E2" s="4" t="s">
        <v>25</v>
      </c>
      <c r="F2" s="4" t="s">
        <v>24</v>
      </c>
      <c r="G2" s="4" t="s">
        <v>24</v>
      </c>
      <c r="H2" s="4" t="s">
        <v>24</v>
      </c>
      <c r="I2" s="4" t="s">
        <v>26</v>
      </c>
      <c r="J2" s="4" t="s">
        <v>36</v>
      </c>
      <c r="K2" s="5" t="s">
        <v>26</v>
      </c>
      <c r="L2" s="5" t="s">
        <v>26</v>
      </c>
      <c r="M2" s="5" t="s">
        <v>26</v>
      </c>
      <c r="N2" s="5" t="s">
        <v>24</v>
      </c>
      <c r="O2" s="4" t="s">
        <v>26</v>
      </c>
      <c r="P2" s="4" t="s">
        <v>26</v>
      </c>
      <c r="Q2" s="4" t="s">
        <v>26</v>
      </c>
      <c r="R2" s="4" t="s">
        <v>26</v>
      </c>
      <c r="S2" s="4" t="s">
        <v>26</v>
      </c>
      <c r="T2" s="4" t="s">
        <v>24</v>
      </c>
      <c r="U2" s="11" t="s">
        <v>24</v>
      </c>
      <c r="V2" s="11" t="s">
        <v>24</v>
      </c>
      <c r="W2" s="11" t="s">
        <v>25</v>
      </c>
      <c r="X2" s="11" t="s">
        <v>27</v>
      </c>
      <c r="Y2" s="11" t="s">
        <v>26</v>
      </c>
      <c r="Z2" s="11" t="s">
        <v>24</v>
      </c>
      <c r="AA2" s="11" t="s">
        <v>24</v>
      </c>
      <c r="AB2" s="13" t="s">
        <v>26</v>
      </c>
      <c r="AC2" s="11" t="s">
        <v>25</v>
      </c>
      <c r="AD2" s="13" t="s">
        <v>25</v>
      </c>
      <c r="AE2" s="13" t="s">
        <v>25</v>
      </c>
    </row>
    <row r="3" spans="1:31" ht="409.6" thickTop="1">
      <c r="A3" s="14">
        <v>1</v>
      </c>
      <c r="B3" s="22" t="s">
        <v>73</v>
      </c>
      <c r="C3" s="23" t="s">
        <v>74</v>
      </c>
      <c r="D3" s="23" t="s">
        <v>77</v>
      </c>
      <c r="E3" s="14">
        <v>1</v>
      </c>
      <c r="F3" s="15" t="s">
        <v>28</v>
      </c>
      <c r="G3" s="15" t="s">
        <v>29</v>
      </c>
      <c r="H3" s="15" t="s">
        <v>30</v>
      </c>
      <c r="I3" s="14">
        <v>3</v>
      </c>
      <c r="J3" s="15" t="s">
        <v>37</v>
      </c>
      <c r="K3" s="14">
        <v>0</v>
      </c>
      <c r="L3" s="14">
        <v>470000000</v>
      </c>
      <c r="M3" s="20">
        <f t="shared" ref="M3" si="0">1-(N3/L3)</f>
        <v>4.2553191489361653E-2</v>
      </c>
      <c r="N3" s="14">
        <v>450000000</v>
      </c>
      <c r="O3" s="14">
        <v>1990</v>
      </c>
      <c r="P3" s="14">
        <v>182</v>
      </c>
      <c r="Q3" s="14">
        <v>250</v>
      </c>
      <c r="R3" s="14">
        <v>832000</v>
      </c>
      <c r="S3" s="14">
        <v>1250000</v>
      </c>
      <c r="T3" s="21" t="s">
        <v>38</v>
      </c>
      <c r="U3" s="17">
        <v>4.6885289999999999</v>
      </c>
      <c r="V3" s="17">
        <v>-74.082549999999998</v>
      </c>
      <c r="W3" s="14">
        <v>2</v>
      </c>
      <c r="X3" s="18">
        <v>44525</v>
      </c>
      <c r="Y3" s="14">
        <v>1</v>
      </c>
      <c r="Z3" s="14">
        <v>3192514878</v>
      </c>
      <c r="AA3" s="15" t="s">
        <v>39</v>
      </c>
      <c r="AB3" s="14">
        <v>320000000</v>
      </c>
      <c r="AC3" s="14">
        <v>7</v>
      </c>
      <c r="AD3" s="14">
        <v>2</v>
      </c>
      <c r="AE3" s="14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3"/>
  <sheetViews>
    <sheetView topLeftCell="D4" zoomScaleNormal="100" workbookViewId="0">
      <selection activeCell="D16" sqref="D16"/>
    </sheetView>
  </sheetViews>
  <sheetFormatPr baseColWidth="10" defaultRowHeight="15"/>
  <cols>
    <col min="2" max="3" width="31.5703125" bestFit="1" customWidth="1"/>
    <col min="4" max="4" width="12" bestFit="1" customWidth="1"/>
  </cols>
  <sheetData>
    <row r="1" spans="1:34" ht="46.5" thickTop="1" thickBot="1">
      <c r="A1" s="3" t="s">
        <v>40</v>
      </c>
      <c r="B1" s="24" t="s">
        <v>1</v>
      </c>
      <c r="C1" s="4" t="s">
        <v>57</v>
      </c>
      <c r="D1" s="4" t="s">
        <v>2</v>
      </c>
      <c r="E1" s="4" t="s">
        <v>58</v>
      </c>
      <c r="F1" s="4" t="s">
        <v>3</v>
      </c>
      <c r="G1" s="4" t="s">
        <v>4</v>
      </c>
      <c r="H1" s="4" t="s">
        <v>41</v>
      </c>
      <c r="I1" s="4" t="s">
        <v>6</v>
      </c>
      <c r="J1" s="4" t="s">
        <v>42</v>
      </c>
      <c r="K1" s="4" t="s">
        <v>64</v>
      </c>
      <c r="L1" s="5" t="s">
        <v>7</v>
      </c>
      <c r="M1" s="5" t="s">
        <v>59</v>
      </c>
      <c r="N1" s="5" t="s">
        <v>71</v>
      </c>
      <c r="O1" s="5" t="s">
        <v>43</v>
      </c>
      <c r="P1" s="4" t="s">
        <v>10</v>
      </c>
      <c r="Q1" s="4" t="s">
        <v>44</v>
      </c>
      <c r="R1" s="4" t="s">
        <v>67</v>
      </c>
      <c r="S1" s="4" t="s">
        <v>45</v>
      </c>
      <c r="T1" s="4" t="s">
        <v>46</v>
      </c>
      <c r="U1" s="4" t="s">
        <v>11</v>
      </c>
      <c r="V1" s="4" t="s">
        <v>12</v>
      </c>
      <c r="W1" s="4" t="s">
        <v>13</v>
      </c>
      <c r="X1" s="4" t="s">
        <v>14</v>
      </c>
      <c r="Y1" s="4" t="s">
        <v>15</v>
      </c>
      <c r="Z1" s="4" t="s">
        <v>16</v>
      </c>
      <c r="AA1" s="7" t="s">
        <v>17</v>
      </c>
      <c r="AB1" s="4" t="s">
        <v>18</v>
      </c>
      <c r="AC1" s="6" t="s">
        <v>20</v>
      </c>
      <c r="AD1" s="4" t="s">
        <v>21</v>
      </c>
      <c r="AE1" s="6" t="s">
        <v>22</v>
      </c>
      <c r="AF1" s="6" t="s">
        <v>23</v>
      </c>
      <c r="AG1" s="6" t="s">
        <v>47</v>
      </c>
      <c r="AH1" s="6" t="s">
        <v>48</v>
      </c>
    </row>
    <row r="2" spans="1:34" ht="16.5" thickTop="1" thickBot="1">
      <c r="A2" s="3" t="s">
        <v>24</v>
      </c>
      <c r="B2" s="4" t="s">
        <v>24</v>
      </c>
      <c r="C2" s="4" t="s">
        <v>24</v>
      </c>
      <c r="D2" s="4" t="s">
        <v>24</v>
      </c>
      <c r="E2" s="4" t="s">
        <v>25</v>
      </c>
      <c r="F2" s="4" t="s">
        <v>24</v>
      </c>
      <c r="G2" s="4" t="s">
        <v>24</v>
      </c>
      <c r="H2" s="4" t="s">
        <v>24</v>
      </c>
      <c r="I2" s="4" t="s">
        <v>26</v>
      </c>
      <c r="J2" s="4" t="s">
        <v>24</v>
      </c>
      <c r="K2" s="4" t="s">
        <v>24</v>
      </c>
      <c r="L2" s="5" t="s">
        <v>26</v>
      </c>
      <c r="M2" s="5" t="s">
        <v>26</v>
      </c>
      <c r="N2" s="5" t="s">
        <v>26</v>
      </c>
      <c r="O2" s="5" t="s">
        <v>24</v>
      </c>
      <c r="P2" s="4" t="s">
        <v>26</v>
      </c>
      <c r="Q2" s="4" t="s">
        <v>26</v>
      </c>
      <c r="R2" s="4" t="s">
        <v>26</v>
      </c>
      <c r="S2" s="4" t="s">
        <v>26</v>
      </c>
      <c r="T2" s="4" t="s">
        <v>26</v>
      </c>
      <c r="U2" s="4" t="s">
        <v>24</v>
      </c>
      <c r="V2" s="4" t="s">
        <v>24</v>
      </c>
      <c r="W2" s="4" t="s">
        <v>24</v>
      </c>
      <c r="X2" s="4" t="s">
        <v>25</v>
      </c>
      <c r="Y2" s="4" t="s">
        <v>27</v>
      </c>
      <c r="Z2" s="4" t="s">
        <v>26</v>
      </c>
      <c r="AA2" s="4" t="s">
        <v>24</v>
      </c>
      <c r="AB2" s="4" t="s">
        <v>24</v>
      </c>
      <c r="AC2" s="13" t="s">
        <v>26</v>
      </c>
      <c r="AD2" s="11" t="s">
        <v>25</v>
      </c>
      <c r="AE2" s="13" t="s">
        <v>25</v>
      </c>
      <c r="AF2" s="13" t="s">
        <v>25</v>
      </c>
      <c r="AG2" s="13" t="s">
        <v>24</v>
      </c>
      <c r="AH2" s="13" t="s">
        <v>24</v>
      </c>
    </row>
    <row r="3" spans="1:34" ht="409.6" thickTop="1">
      <c r="A3" s="14">
        <v>1</v>
      </c>
      <c r="B3" s="22" t="s">
        <v>73</v>
      </c>
      <c r="C3" s="23" t="s">
        <v>75</v>
      </c>
      <c r="D3" s="23" t="s">
        <v>78</v>
      </c>
      <c r="E3" s="14">
        <v>0</v>
      </c>
      <c r="F3" s="15" t="s">
        <v>28</v>
      </c>
      <c r="G3" s="15" t="s">
        <v>49</v>
      </c>
      <c r="H3" s="15" t="s">
        <v>50</v>
      </c>
      <c r="I3" s="14">
        <v>3</v>
      </c>
      <c r="J3" s="15" t="s">
        <v>51</v>
      </c>
      <c r="K3" s="21" t="s">
        <v>52</v>
      </c>
      <c r="L3" s="14">
        <v>0</v>
      </c>
      <c r="M3" s="14">
        <v>250000000</v>
      </c>
      <c r="N3" s="17">
        <f t="shared" ref="N3" si="0">1-(O3/M3)</f>
        <v>7.999999999999996E-2</v>
      </c>
      <c r="O3" s="14">
        <v>230000000</v>
      </c>
      <c r="P3" s="14">
        <v>2000</v>
      </c>
      <c r="Q3" s="19">
        <v>8.5</v>
      </c>
      <c r="R3" s="14">
        <v>200</v>
      </c>
      <c r="S3" s="14">
        <v>875000</v>
      </c>
      <c r="T3" s="14">
        <v>5500000</v>
      </c>
      <c r="U3" s="21" t="s">
        <v>53</v>
      </c>
      <c r="V3" s="17">
        <v>3.452655</v>
      </c>
      <c r="W3" s="17">
        <v>-75.471118000000004</v>
      </c>
      <c r="X3" s="14">
        <v>2</v>
      </c>
      <c r="Y3" s="18">
        <v>44525</v>
      </c>
      <c r="Z3" s="14">
        <v>0</v>
      </c>
      <c r="AA3" s="14">
        <v>3203135121</v>
      </c>
      <c r="AB3" s="15" t="s">
        <v>54</v>
      </c>
      <c r="AC3" s="14">
        <v>185000000</v>
      </c>
      <c r="AD3" s="14">
        <v>2</v>
      </c>
      <c r="AE3" s="14">
        <v>2</v>
      </c>
      <c r="AF3" s="14">
        <v>4</v>
      </c>
      <c r="AG3" s="15" t="s">
        <v>55</v>
      </c>
      <c r="AH3" s="15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PH</vt:lpstr>
      <vt:lpstr>NPH</vt:lpstr>
      <vt:lpstr>RURAL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ASUS</cp:lastModifiedBy>
  <dcterms:created xsi:type="dcterms:W3CDTF">2022-03-03T02:29:28Z</dcterms:created>
  <dcterms:modified xsi:type="dcterms:W3CDTF">2022-05-04T13:56:02Z</dcterms:modified>
</cp:coreProperties>
</file>